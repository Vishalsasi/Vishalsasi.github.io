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esktop/my-portfolio/"/>
    </mc:Choice>
  </mc:AlternateContent>
  <xr:revisionPtr revIDLastSave="0" documentId="13_ncr:1_{E879DE22-693F-1F42-A615-D2B6538E59F6}" xr6:coauthVersionLast="47" xr6:coauthVersionMax="47" xr10:uidLastSave="{00000000-0000-0000-0000-000000000000}"/>
  <bookViews>
    <workbookView xWindow="0" yWindow="600" windowWidth="51200" windowHeight="26400" tabRatio="854" activeTab="4" xr2:uid="{9FC57020-DF4D-4BD6-8F0A-F8AA1857DDAF}"/>
  </bookViews>
  <sheets>
    <sheet name="Income Statement" sheetId="1" r:id="rId1"/>
    <sheet name="Balance Sheet" sheetId="3" r:id="rId2"/>
    <sheet name="Statement of Changes in Equity" sheetId="9" r:id="rId3"/>
    <sheet name="Workings" sheetId="11" r:id="rId4"/>
    <sheet name="CFS-Indirect Method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3" i="12" l="1"/>
  <c r="C42" i="12"/>
  <c r="C37" i="12"/>
  <c r="C36" i="12"/>
  <c r="E22" i="3"/>
  <c r="C35" i="12" s="1"/>
  <c r="C31" i="12"/>
  <c r="C30" i="12"/>
  <c r="C26" i="12"/>
  <c r="C25" i="12"/>
  <c r="C24" i="12"/>
  <c r="C19" i="12"/>
  <c r="C18" i="12"/>
  <c r="C17" i="12"/>
  <c r="C14" i="12"/>
  <c r="C10" i="12"/>
  <c r="C9" i="12"/>
  <c r="C8" i="12"/>
  <c r="C32" i="12" l="1"/>
  <c r="C11" i="12"/>
  <c r="E9" i="3"/>
  <c r="C18" i="11"/>
  <c r="C16" i="11"/>
  <c r="C15" i="11"/>
  <c r="C14" i="11"/>
  <c r="C13" i="11"/>
  <c r="C9" i="11"/>
  <c r="C8" i="11"/>
  <c r="C7" i="11"/>
  <c r="C6" i="11"/>
  <c r="C5" i="11"/>
  <c r="C17" i="11"/>
  <c r="E23" i="3"/>
  <c r="E14" i="3"/>
  <c r="E15" i="3"/>
  <c r="E16" i="3"/>
  <c r="E17" i="3"/>
  <c r="E18" i="3"/>
  <c r="E24" i="3"/>
  <c r="E27" i="3"/>
  <c r="E28" i="3"/>
  <c r="E29" i="3"/>
  <c r="E32" i="3"/>
  <c r="E33" i="3"/>
  <c r="E34" i="3"/>
  <c r="E35" i="3"/>
  <c r="E37" i="3"/>
  <c r="E11" i="3"/>
  <c r="E10" i="3"/>
  <c r="E50" i="12"/>
  <c r="E49" i="12"/>
  <c r="C38" i="12" l="1"/>
  <c r="C44" i="12"/>
  <c r="C20" i="12"/>
  <c r="C22" i="12"/>
  <c r="C49" i="12"/>
  <c r="D29" i="3"/>
  <c r="C29" i="3"/>
  <c r="E53" i="12"/>
  <c r="E52" i="12"/>
  <c r="C27" i="12" l="1"/>
  <c r="C40" i="12" s="1"/>
  <c r="C46" i="12" s="1"/>
  <c r="C52" i="12"/>
  <c r="C50" i="12"/>
  <c r="C53" i="12" s="1"/>
  <c r="E16" i="9"/>
  <c r="F16" i="9" s="1"/>
  <c r="E19" i="9"/>
  <c r="D19" i="9"/>
  <c r="D34" i="3"/>
  <c r="C34" i="3"/>
  <c r="D17" i="3"/>
  <c r="C17" i="3"/>
  <c r="D11" i="3"/>
  <c r="C11" i="3"/>
  <c r="D17" i="9"/>
  <c r="F12" i="9"/>
  <c r="D9" i="9"/>
  <c r="D10" i="9" s="1"/>
  <c r="F6" i="9"/>
  <c r="D26" i="1"/>
  <c r="E8" i="9" s="1"/>
  <c r="F8" i="9" s="1"/>
  <c r="C26" i="1"/>
  <c r="E14" i="9" s="1"/>
  <c r="F14" i="9" s="1"/>
  <c r="D9" i="1"/>
  <c r="D14" i="1" s="1"/>
  <c r="D17" i="1" s="1"/>
  <c r="D20" i="1" s="1"/>
  <c r="E7" i="9" s="1"/>
  <c r="F7" i="9" s="1"/>
  <c r="F9" i="9" s="1"/>
  <c r="C9" i="1"/>
  <c r="C14" i="1" s="1"/>
  <c r="C54" i="12" l="1"/>
  <c r="C48" i="12"/>
  <c r="C18" i="3"/>
  <c r="D18" i="3"/>
  <c r="C35" i="3"/>
  <c r="D35" i="3"/>
  <c r="E9" i="9"/>
  <c r="E10" i="9" s="1"/>
  <c r="F19" i="9"/>
  <c r="D20" i="9"/>
  <c r="F10" i="9"/>
  <c r="D24" i="3" l="1"/>
  <c r="D37" i="3" s="1"/>
  <c r="C24" i="3"/>
  <c r="C37" i="3" l="1"/>
  <c r="C40" i="3" s="1"/>
  <c r="D40" i="3"/>
  <c r="C17" i="1" l="1"/>
  <c r="C20" i="1" s="1"/>
  <c r="E13" i="9" l="1"/>
  <c r="F13" i="9" l="1"/>
  <c r="E15" i="9"/>
  <c r="F15" i="9" l="1"/>
  <c r="F17" i="9" s="1"/>
  <c r="F20" i="9" s="1"/>
  <c r="E17" i="9"/>
  <c r="E20" i="9" s="1"/>
</calcChain>
</file>

<file path=xl/sharedStrings.xml><?xml version="1.0" encoding="utf-8"?>
<sst xmlns="http://schemas.openxmlformats.org/spreadsheetml/2006/main" count="135" uniqueCount="118">
  <si>
    <t>Revenue</t>
  </si>
  <si>
    <t>Payroll expenses</t>
  </si>
  <si>
    <t>Net Income</t>
  </si>
  <si>
    <t>Interest expense</t>
  </si>
  <si>
    <t>Operating Profit</t>
  </si>
  <si>
    <t>ASSETS</t>
  </si>
  <si>
    <t>Property, plant and equipment (NBV)</t>
  </si>
  <si>
    <t>Non-current assets</t>
  </si>
  <si>
    <t>Current assets</t>
  </si>
  <si>
    <t>Inventory</t>
  </si>
  <si>
    <t>Trade receivables</t>
  </si>
  <si>
    <t>Cash and cash equivalents</t>
  </si>
  <si>
    <t>Total Assets</t>
  </si>
  <si>
    <t>Depreciation expense</t>
  </si>
  <si>
    <t>Equity</t>
  </si>
  <si>
    <t>Retained earnings</t>
  </si>
  <si>
    <t>EQUITY AND LIABILITIES</t>
  </si>
  <si>
    <t>Non-current liabilities</t>
  </si>
  <si>
    <t>Long-term borrowings</t>
  </si>
  <si>
    <t>Current liabilities</t>
  </si>
  <si>
    <t>Trade payables</t>
  </si>
  <si>
    <t>Total equity and liabilities</t>
  </si>
  <si>
    <t>* Dividends paid during the year</t>
  </si>
  <si>
    <t>Dividends paid</t>
  </si>
  <si>
    <t>Check!</t>
  </si>
  <si>
    <t>Current Year</t>
  </si>
  <si>
    <t>Previous Year</t>
  </si>
  <si>
    <t>USD in million</t>
  </si>
  <si>
    <t>Notes:</t>
  </si>
  <si>
    <t>Share capital</t>
  </si>
  <si>
    <t>Total Equity</t>
  </si>
  <si>
    <t>Total Liabilities</t>
  </si>
  <si>
    <t>Cost of goods sold (COGS)</t>
  </si>
  <si>
    <t>Gross profit</t>
  </si>
  <si>
    <t>SG&amp;A</t>
  </si>
  <si>
    <t>Income tax</t>
  </si>
  <si>
    <t>Profit before tax (PBT)</t>
  </si>
  <si>
    <t>Other comprehensive income</t>
  </si>
  <si>
    <t>Total comprehensive income</t>
  </si>
  <si>
    <t>Other comprehensive income for the year</t>
  </si>
  <si>
    <t xml:space="preserve">Registered capital </t>
  </si>
  <si>
    <t>Total</t>
  </si>
  <si>
    <t>Profit for the year</t>
  </si>
  <si>
    <t xml:space="preserve">Other comprehensive income </t>
  </si>
  <si>
    <t>Intangible assets</t>
  </si>
  <si>
    <t>Total non-current assets</t>
  </si>
  <si>
    <t>Total current assets</t>
  </si>
  <si>
    <t>Total non-current liabilities</t>
  </si>
  <si>
    <t>Short-term borrowings</t>
  </si>
  <si>
    <t>Total current liabilities</t>
  </si>
  <si>
    <t>Opening balance at 1.1.2022</t>
  </si>
  <si>
    <t>Closing balance at 31.12.2022</t>
  </si>
  <si>
    <t>Opening balance at 1.1.2023</t>
  </si>
  <si>
    <t>Closing balance at 31.12.2023</t>
  </si>
  <si>
    <t>*Purchase of property, plant and equipment</t>
  </si>
  <si>
    <t>*Purchase of intangible assets (software and licenses)</t>
  </si>
  <si>
    <t>Pension liabilities</t>
  </si>
  <si>
    <t>Actuarial (loss)/profit on pension liabilities</t>
  </si>
  <si>
    <t>Unrealized FX loss on pension liabilities</t>
  </si>
  <si>
    <t>Omega Industries Ltd</t>
  </si>
  <si>
    <t>Add: depreciation expense</t>
  </si>
  <si>
    <t>Increase in inventory</t>
  </si>
  <si>
    <t>Cash flow from operations</t>
  </si>
  <si>
    <t>Interest paid</t>
  </si>
  <si>
    <t>Tax paid</t>
  </si>
  <si>
    <t>Net cash generated from operating activities</t>
  </si>
  <si>
    <t>Cash flows from investing activities</t>
  </si>
  <si>
    <t>Net cash used in investing activities</t>
  </si>
  <si>
    <t>Cash flows from financing activities</t>
  </si>
  <si>
    <t>Issues of share capital</t>
  </si>
  <si>
    <t>Long-term borrowings repaid</t>
  </si>
  <si>
    <t>Net cash used in financing activities</t>
  </si>
  <si>
    <t>Net cash flow for the period</t>
  </si>
  <si>
    <t>Cash and cash equivalents at the beginning of the period</t>
  </si>
  <si>
    <t>Cash and cash equivalents at the end of the period</t>
  </si>
  <si>
    <t>Net increase/decrease in cash</t>
  </si>
  <si>
    <t>Decrease in trade receivables</t>
  </si>
  <si>
    <t>FCFF</t>
  </si>
  <si>
    <t>FCFE</t>
  </si>
  <si>
    <t>Net Change</t>
  </si>
  <si>
    <t>OK</t>
  </si>
  <si>
    <t>Included in Other Comprehensive Income</t>
  </si>
  <si>
    <t>Omega Industries LTD</t>
  </si>
  <si>
    <t>Workings:</t>
  </si>
  <si>
    <t>PP&amp;E reconciliation</t>
  </si>
  <si>
    <t>PP&amp;E opening balance</t>
  </si>
  <si>
    <t>Add: PPE purchases</t>
  </si>
  <si>
    <t>Less: Depreciation</t>
  </si>
  <si>
    <t>PP&amp;E closing balance</t>
  </si>
  <si>
    <t>RE reconciliation</t>
  </si>
  <si>
    <t>Retained earnings at the beginning of the year</t>
  </si>
  <si>
    <t>Add: Net Income</t>
  </si>
  <si>
    <t>Add: Other comprehensive income</t>
  </si>
  <si>
    <t>Less: Dividends paid</t>
  </si>
  <si>
    <t>Retained earnings at the end of the year</t>
  </si>
  <si>
    <t>Cash Flow Statement:</t>
  </si>
  <si>
    <t>Indirect Method:</t>
  </si>
  <si>
    <t>Statement of Changes in Equity:</t>
  </si>
  <si>
    <t>Balance Sheet:</t>
  </si>
  <si>
    <t>Income Statement:</t>
  </si>
  <si>
    <t>Cash flows from operating activities</t>
  </si>
  <si>
    <t>Add: tax for the year</t>
  </si>
  <si>
    <t>Add: interest expense</t>
  </si>
  <si>
    <t>Operating profit</t>
  </si>
  <si>
    <t>Adjustments for non-cash items:</t>
  </si>
  <si>
    <t>non-cash items</t>
  </si>
  <si>
    <t>Changes in working capital:</t>
  </si>
  <si>
    <t>changes in working capital</t>
  </si>
  <si>
    <t>Increase in trade payables</t>
  </si>
  <si>
    <t>Purchase of property, plant and equipment</t>
  </si>
  <si>
    <t>Purchase of intangible assets</t>
  </si>
  <si>
    <t>Short-term borrowings repaid</t>
  </si>
  <si>
    <t>ok</t>
  </si>
  <si>
    <t xml:space="preserve">FCFF  </t>
  </si>
  <si>
    <r>
      <rPr>
        <b/>
        <sz val="9"/>
        <color theme="1"/>
        <rFont val="Arial"/>
        <family val="2"/>
      </rPr>
      <t>FCFF</t>
    </r>
    <r>
      <rPr>
        <sz val="9"/>
        <color theme="1"/>
        <rFont val="Arial"/>
        <family val="2"/>
      </rPr>
      <t xml:space="preserve"> = Net Income+Non-Cash Charges(D&amp;A)+[Int Rate(1-Tax Rate)]-Working Capital Investment-Fixed Capital Investment(Net Capital Expenditures)</t>
    </r>
  </si>
  <si>
    <r>
      <rPr>
        <b/>
        <sz val="9"/>
        <color theme="1"/>
        <rFont val="Arial"/>
        <family val="2"/>
      </rPr>
      <t xml:space="preserve">FCFE </t>
    </r>
    <r>
      <rPr>
        <sz val="9"/>
        <color theme="1"/>
        <rFont val="Arial"/>
        <family val="2"/>
      </rPr>
      <t>= Cash Flow From Operations(CFO)-Fixed Capital Investment(Net Capital Expenditures)+Net Borrowing(Debt Issued - Debt Repaid)</t>
    </r>
  </si>
  <si>
    <r>
      <rPr>
        <b/>
        <sz val="9"/>
        <color theme="1"/>
        <rFont val="Arial"/>
        <family val="2"/>
      </rPr>
      <t>FCFE</t>
    </r>
    <r>
      <rPr>
        <sz val="9"/>
        <color theme="1"/>
        <rFont val="Arial"/>
        <family val="2"/>
      </rPr>
      <t xml:space="preserve"> = FCFF-[Int Rate(1-Tax Rate)]+Net Borrowing(Debt Issued - Debt Repaid)</t>
    </r>
  </si>
  <si>
    <r>
      <rPr>
        <b/>
        <sz val="9"/>
        <color theme="1"/>
        <rFont val="Arial"/>
        <family val="2"/>
      </rPr>
      <t>FCFF</t>
    </r>
    <r>
      <rPr>
        <sz val="9"/>
        <color theme="1"/>
        <rFont val="Arial"/>
        <family val="2"/>
      </rPr>
      <t xml:space="preserve"> = Cash Flow From Operations(CFO)+[Int Rate(1-Tax Rate)]-Fixed Capital Investment(Net Capital Expenditures)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</si>
</sst>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"/>
      <name val="Arial"/>
      <family val="2"/>
    </font>
    <font>
      <b/>
      <i/>
      <sz val="9"/>
      <color theme="1"/>
      <name val="Arial"/>
      <family val="2"/>
    </font>
    <font>
      <u/>
      <sz val="10"/>
      <color theme="10"/>
      <name val="Arial"/>
      <family val="2"/>
    </font>
    <font>
      <b/>
      <sz val="9"/>
      <color rgb="FF0073B0"/>
      <name val="Arial"/>
      <family val="2"/>
    </font>
    <font>
      <b/>
      <sz val="12"/>
      <color rgb="FF0070C0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sz val="9"/>
      <name val="Georgia"/>
      <family val="1"/>
      <charset val="204"/>
    </font>
    <font>
      <sz val="9"/>
      <color theme="0"/>
      <name val="Arial"/>
      <family val="2"/>
    </font>
    <font>
      <i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49" fontId="3" fillId="0" borderId="0" xfId="2" applyNumberFormat="1" applyFont="1" applyAlignment="1">
      <alignment horizontal="center" wrapText="1"/>
    </xf>
    <xf numFmtId="49" fontId="3" fillId="0" borderId="0" xfId="2" applyNumberFormat="1" applyFont="1" applyAlignment="1">
      <alignment horizontal="right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3" fontId="5" fillId="0" borderId="0" xfId="1" applyFont="1"/>
    <xf numFmtId="164" fontId="5" fillId="0" borderId="0" xfId="1" applyNumberFormat="1" applyFont="1" applyBorder="1"/>
    <xf numFmtId="164" fontId="5" fillId="0" borderId="0" xfId="0" applyNumberFormat="1" applyFont="1"/>
    <xf numFmtId="0" fontId="6" fillId="0" borderId="1" xfId="0" applyFont="1" applyBorder="1"/>
    <xf numFmtId="164" fontId="6" fillId="0" borderId="1" xfId="1" applyNumberFormat="1" applyFont="1" applyBorder="1"/>
    <xf numFmtId="0" fontId="7" fillId="0" borderId="0" xfId="0" applyFont="1"/>
    <xf numFmtId="164" fontId="5" fillId="0" borderId="0" xfId="1" applyNumberFormat="1" applyFont="1" applyFill="1" applyBorder="1"/>
    <xf numFmtId="164" fontId="6" fillId="0" borderId="1" xfId="0" applyNumberFormat="1" applyFont="1" applyBorder="1"/>
    <xf numFmtId="0" fontId="6" fillId="0" borderId="0" xfId="0" applyFont="1"/>
    <xf numFmtId="164" fontId="6" fillId="0" borderId="0" xfId="1" applyNumberFormat="1" applyFont="1" applyBorder="1"/>
    <xf numFmtId="164" fontId="6" fillId="0" borderId="0" xfId="0" applyNumberFormat="1" applyFont="1"/>
    <xf numFmtId="164" fontId="5" fillId="0" borderId="0" xfId="1" applyNumberFormat="1" applyFont="1"/>
    <xf numFmtId="164" fontId="8" fillId="0" borderId="0" xfId="1" applyNumberFormat="1" applyFont="1"/>
    <xf numFmtId="164" fontId="5" fillId="0" borderId="0" xfId="1" applyNumberFormat="1" applyFont="1" applyFill="1" applyBorder="1" applyAlignment="1"/>
    <xf numFmtId="164" fontId="5" fillId="0" borderId="0" xfId="1" applyNumberFormat="1" applyFont="1" applyBorder="1" applyAlignment="1"/>
    <xf numFmtId="164" fontId="6" fillId="0" borderId="1" xfId="1" applyNumberFormat="1" applyFont="1" applyBorder="1" applyAlignment="1"/>
    <xf numFmtId="164" fontId="6" fillId="0" borderId="0" xfId="1" applyNumberFormat="1" applyFont="1" applyBorder="1" applyAlignment="1"/>
    <xf numFmtId="0" fontId="10" fillId="3" borderId="3" xfId="2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14" fontId="10" fillId="3" borderId="3" xfId="2" applyNumberFormat="1" applyFont="1" applyFill="1" applyBorder="1" applyAlignment="1">
      <alignment horizontal="right"/>
    </xf>
    <xf numFmtId="0" fontId="6" fillId="0" borderId="2" xfId="0" applyFont="1" applyBorder="1"/>
    <xf numFmtId="164" fontId="6" fillId="0" borderId="2" xfId="1" applyNumberFormat="1" applyFont="1" applyBorder="1"/>
    <xf numFmtId="0" fontId="14" fillId="0" borderId="0" xfId="0" applyFont="1"/>
    <xf numFmtId="0" fontId="5" fillId="2" borderId="0" xfId="0" applyFont="1" applyFill="1"/>
    <xf numFmtId="164" fontId="6" fillId="0" borderId="0" xfId="1" applyNumberFormat="1" applyFont="1"/>
    <xf numFmtId="0" fontId="10" fillId="3" borderId="0" xfId="2" applyFont="1" applyFill="1" applyAlignment="1">
      <alignment horizontal="right"/>
    </xf>
    <xf numFmtId="0" fontId="10" fillId="3" borderId="3" xfId="2" applyFont="1" applyFill="1" applyBorder="1" applyAlignment="1">
      <alignment wrapText="1"/>
    </xf>
    <xf numFmtId="0" fontId="10" fillId="3" borderId="3" xfId="2" applyFont="1" applyFill="1" applyBorder="1" applyAlignment="1">
      <alignment horizontal="center" wrapText="1"/>
    </xf>
    <xf numFmtId="9" fontId="5" fillId="0" borderId="0" xfId="5" applyFont="1"/>
    <xf numFmtId="0" fontId="0" fillId="4" borderId="0" xfId="0" applyFill="1"/>
    <xf numFmtId="0" fontId="15" fillId="5" borderId="0" xfId="0" applyFont="1" applyFill="1"/>
    <xf numFmtId="164" fontId="15" fillId="5" borderId="0" xfId="0" applyNumberFormat="1" applyFont="1" applyFill="1"/>
    <xf numFmtId="0" fontId="5" fillId="4" borderId="0" xfId="0" applyFont="1" applyFill="1"/>
    <xf numFmtId="0" fontId="6" fillId="4" borderId="0" xfId="0" applyFont="1" applyFill="1"/>
    <xf numFmtId="0" fontId="13" fillId="4" borderId="0" xfId="0" applyFont="1" applyFill="1"/>
    <xf numFmtId="0" fontId="8" fillId="4" borderId="0" xfId="0" applyFont="1" applyFill="1"/>
    <xf numFmtId="164" fontId="5" fillId="4" borderId="0" xfId="1" applyNumberFormat="1" applyFont="1" applyFill="1"/>
    <xf numFmtId="0" fontId="6" fillId="4" borderId="1" xfId="0" applyFont="1" applyFill="1" applyBorder="1"/>
    <xf numFmtId="164" fontId="6" fillId="4" borderId="1" xfId="1" applyNumberFormat="1" applyFont="1" applyFill="1" applyBorder="1"/>
    <xf numFmtId="164" fontId="8" fillId="4" borderId="0" xfId="1" applyNumberFormat="1" applyFont="1" applyFill="1"/>
    <xf numFmtId="0" fontId="11" fillId="4" borderId="0" xfId="0" applyFont="1" applyFill="1"/>
    <xf numFmtId="0" fontId="10" fillId="6" borderId="3" xfId="2" applyFont="1" applyFill="1" applyBorder="1"/>
    <xf numFmtId="0" fontId="10" fillId="6" borderId="3" xfId="2" applyFont="1" applyFill="1" applyBorder="1" applyAlignment="1">
      <alignment horizontal="right"/>
    </xf>
    <xf numFmtId="0" fontId="4" fillId="6" borderId="0" xfId="2" applyFont="1" applyFill="1" applyAlignment="1">
      <alignment horizontal="center"/>
    </xf>
    <xf numFmtId="0" fontId="4" fillId="6" borderId="0" xfId="2" applyFont="1" applyFill="1"/>
    <xf numFmtId="164" fontId="5" fillId="4" borderId="0" xfId="0" applyNumberFormat="1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164" fontId="8" fillId="4" borderId="0" xfId="0" applyNumberFormat="1" applyFont="1" applyFill="1"/>
    <xf numFmtId="164" fontId="16" fillId="4" borderId="0" xfId="0" applyNumberFormat="1" applyFont="1" applyFill="1"/>
    <xf numFmtId="0" fontId="16" fillId="4" borderId="0" xfId="0" applyFont="1" applyFill="1"/>
    <xf numFmtId="0" fontId="5" fillId="4" borderId="6" xfId="0" applyFont="1" applyFill="1" applyBorder="1" applyAlignment="1">
      <alignment horizontal="center" vertical="center"/>
    </xf>
    <xf numFmtId="164" fontId="6" fillId="4" borderId="0" xfId="0" applyNumberFormat="1" applyFont="1" applyFill="1"/>
    <xf numFmtId="164" fontId="5" fillId="4" borderId="0" xfId="0" applyNumberFormat="1" applyFont="1" applyFill="1" applyAlignment="1">
      <alignment horizontal="center" vertical="center" wrapText="1"/>
    </xf>
    <xf numFmtId="164" fontId="5" fillId="4" borderId="4" xfId="1" applyNumberFormat="1" applyFont="1" applyFill="1" applyBorder="1"/>
    <xf numFmtId="164" fontId="6" fillId="4" borderId="0" xfId="1" applyNumberFormat="1" applyFont="1" applyFill="1" applyBorder="1"/>
    <xf numFmtId="0" fontId="5" fillId="4" borderId="0" xfId="0" applyFont="1" applyFill="1" applyAlignment="1">
      <alignment horizontal="center" vertical="center" wrapText="1"/>
    </xf>
    <xf numFmtId="164" fontId="5" fillId="4" borderId="0" xfId="1" applyNumberFormat="1" applyFont="1" applyFill="1" applyBorder="1"/>
    <xf numFmtId="164" fontId="6" fillId="4" borderId="0" xfId="1" applyNumberFormat="1" applyFont="1" applyFill="1"/>
    <xf numFmtId="0" fontId="5" fillId="4" borderId="0" xfId="0" applyFont="1" applyFill="1" applyAlignment="1">
      <alignment vertical="center" wrapText="1"/>
    </xf>
    <xf numFmtId="43" fontId="5" fillId="4" borderId="0" xfId="0" applyNumberFormat="1" applyFont="1" applyFill="1"/>
    <xf numFmtId="164" fontId="6" fillId="4" borderId="1" xfId="0" applyNumberFormat="1" applyFont="1" applyFill="1" applyBorder="1"/>
    <xf numFmtId="0" fontId="6" fillId="4" borderId="5" xfId="0" applyFont="1" applyFill="1" applyBorder="1"/>
    <xf numFmtId="164" fontId="6" fillId="4" borderId="5" xfId="0" applyNumberFormat="1" applyFont="1" applyFill="1" applyBorder="1"/>
    <xf numFmtId="0" fontId="5" fillId="4" borderId="6" xfId="0" applyFont="1" applyFill="1" applyBorder="1"/>
    <xf numFmtId="0" fontId="5" fillId="4" borderId="2" xfId="0" applyFont="1" applyFill="1" applyBorder="1"/>
    <xf numFmtId="0" fontId="5" fillId="4" borderId="4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13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6">
    <cellStyle name="Comma" xfId="1" builtinId="3"/>
    <cellStyle name="Hyperlink 2 2" xfId="4" xr:uid="{31DD57B3-D28E-4C4C-913D-2C32E96BA31A}"/>
    <cellStyle name="Normal" xfId="0" builtinId="0"/>
    <cellStyle name="Normal 2" xfId="2" xr:uid="{FCB04854-9500-4965-A0FF-E16126036E4D}"/>
    <cellStyle name="Normal 2 2 2" xfId="3" xr:uid="{FB05DAB9-669A-4735-B354-9728E6DDAF87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2C50-108E-49D8-8D34-F7367DD8F328}">
  <sheetPr>
    <tabColor rgb="FF0070C0"/>
  </sheetPr>
  <dimension ref="B1:AB34"/>
  <sheetViews>
    <sheetView showGridLines="0" zoomScale="224" zoomScaleNormal="100" workbookViewId="0">
      <selection activeCell="B2" sqref="B2"/>
    </sheetView>
  </sheetViews>
  <sheetFormatPr baseColWidth="10" defaultColWidth="8.83203125" defaultRowHeight="12" x14ac:dyDescent="0.15"/>
  <cols>
    <col min="1" max="1" width="2" style="5" customWidth="1"/>
    <col min="2" max="2" width="40.83203125" style="5" customWidth="1"/>
    <col min="3" max="3" width="9.5" style="5" customWidth="1"/>
    <col min="4" max="4" width="10.5" style="5" bestFit="1" customWidth="1"/>
    <col min="5" max="25" width="8.83203125" style="5"/>
    <col min="26" max="26" width="12.33203125" style="5" customWidth="1"/>
    <col min="27" max="27" width="27.33203125" style="5" bestFit="1" customWidth="1"/>
    <col min="28" max="28" width="13" style="6" bestFit="1" customWidth="1"/>
    <col min="29" max="16384" width="8.83203125" style="5"/>
  </cols>
  <sheetData>
    <row r="1" spans="2:5" ht="16" x14ac:dyDescent="0.2">
      <c r="B1" s="24" t="s">
        <v>99</v>
      </c>
    </row>
    <row r="2" spans="2:5" ht="16" x14ac:dyDescent="0.2">
      <c r="B2" s="24" t="s">
        <v>59</v>
      </c>
      <c r="C2" s="1"/>
      <c r="D2" s="2"/>
      <c r="E2" s="2"/>
    </row>
    <row r="3" spans="2:5" ht="16" x14ac:dyDescent="0.2">
      <c r="B3" s="24"/>
      <c r="C3" s="3"/>
      <c r="D3" s="4"/>
      <c r="E3" s="4"/>
    </row>
    <row r="4" spans="2:5" x14ac:dyDescent="0.15">
      <c r="B4" s="4"/>
      <c r="C4" s="3"/>
      <c r="D4" s="4"/>
      <c r="E4" s="4"/>
    </row>
    <row r="5" spans="2:5" ht="13" thickBot="1" x14ac:dyDescent="0.2">
      <c r="B5" s="23" t="s">
        <v>27</v>
      </c>
      <c r="C5" s="28">
        <v>45291</v>
      </c>
      <c r="D5" s="28">
        <v>44926</v>
      </c>
    </row>
    <row r="6" spans="2:5" ht="13" thickTop="1" x14ac:dyDescent="0.15">
      <c r="C6" s="7"/>
    </row>
    <row r="7" spans="2:5" x14ac:dyDescent="0.15">
      <c r="B7" s="5" t="s">
        <v>0</v>
      </c>
      <c r="C7" s="7">
        <v>319662</v>
      </c>
      <c r="D7" s="17">
        <v>283549</v>
      </c>
    </row>
    <row r="8" spans="2:5" x14ac:dyDescent="0.15">
      <c r="B8" s="5" t="s">
        <v>32</v>
      </c>
      <c r="C8" s="7">
        <v>-180969</v>
      </c>
      <c r="D8" s="17">
        <v>-169802</v>
      </c>
    </row>
    <row r="9" spans="2:5" x14ac:dyDescent="0.15">
      <c r="B9" s="29" t="s">
        <v>33</v>
      </c>
      <c r="C9" s="30">
        <f>SUM(C7:C8)</f>
        <v>138693</v>
      </c>
      <c r="D9" s="30">
        <f>SUM(D7:D8)</f>
        <v>113747</v>
      </c>
    </row>
    <row r="10" spans="2:5" x14ac:dyDescent="0.15">
      <c r="C10" s="7"/>
      <c r="D10" s="17"/>
    </row>
    <row r="11" spans="2:5" x14ac:dyDescent="0.15">
      <c r="B11" s="5" t="s">
        <v>1</v>
      </c>
      <c r="C11" s="7">
        <v>-19281</v>
      </c>
      <c r="D11" s="17">
        <v>-17451</v>
      </c>
    </row>
    <row r="12" spans="2:5" x14ac:dyDescent="0.15">
      <c r="B12" s="5" t="s">
        <v>13</v>
      </c>
      <c r="C12" s="7">
        <v>-28787</v>
      </c>
      <c r="D12" s="17">
        <v>-24991</v>
      </c>
    </row>
    <row r="13" spans="2:5" x14ac:dyDescent="0.15">
      <c r="B13" s="5" t="s">
        <v>34</v>
      </c>
      <c r="C13" s="7">
        <v>-85383</v>
      </c>
      <c r="D13" s="17">
        <v>-53312</v>
      </c>
    </row>
    <row r="14" spans="2:5" ht="13" thickBot="1" x14ac:dyDescent="0.2">
      <c r="B14" s="9" t="s">
        <v>4</v>
      </c>
      <c r="C14" s="10">
        <f>SUM(C9:C13)</f>
        <v>5242</v>
      </c>
      <c r="D14" s="10">
        <f>SUM(D9:D13)</f>
        <v>17993</v>
      </c>
    </row>
    <row r="15" spans="2:5" x14ac:dyDescent="0.15">
      <c r="C15" s="7"/>
      <c r="D15" s="7"/>
    </row>
    <row r="16" spans="2:5" x14ac:dyDescent="0.15">
      <c r="B16" s="5" t="s">
        <v>3</v>
      </c>
      <c r="C16" s="7">
        <v>-495</v>
      </c>
      <c r="D16" s="7">
        <v>-1798</v>
      </c>
    </row>
    <row r="17" spans="2:9" ht="13" thickBot="1" x14ac:dyDescent="0.2">
      <c r="B17" s="9" t="s">
        <v>36</v>
      </c>
      <c r="C17" s="10">
        <f>SUM(C14:C16)</f>
        <v>4747</v>
      </c>
      <c r="D17" s="10">
        <f>SUM(D14:D16)</f>
        <v>16195</v>
      </c>
      <c r="H17" s="37"/>
      <c r="I17" s="37"/>
    </row>
    <row r="18" spans="2:9" x14ac:dyDescent="0.15">
      <c r="C18" s="7"/>
      <c r="D18" s="7"/>
    </row>
    <row r="19" spans="2:9" x14ac:dyDescent="0.15">
      <c r="B19" s="5" t="s">
        <v>35</v>
      </c>
      <c r="C19" s="7">
        <v>-633</v>
      </c>
      <c r="D19" s="7">
        <v>-1844</v>
      </c>
    </row>
    <row r="20" spans="2:9" ht="13" thickBot="1" x14ac:dyDescent="0.2">
      <c r="B20" s="9" t="s">
        <v>2</v>
      </c>
      <c r="C20" s="10">
        <f>SUM(C17:C19)</f>
        <v>4114</v>
      </c>
      <c r="D20" s="10">
        <f>SUM(D17:D19)</f>
        <v>14351</v>
      </c>
    </row>
    <row r="21" spans="2:9" x14ac:dyDescent="0.15">
      <c r="C21" s="7"/>
      <c r="D21" s="7"/>
    </row>
    <row r="22" spans="2:9" x14ac:dyDescent="0.15">
      <c r="C22" s="7"/>
      <c r="D22" s="7"/>
    </row>
    <row r="23" spans="2:9" x14ac:dyDescent="0.15">
      <c r="B23" s="14" t="s">
        <v>37</v>
      </c>
      <c r="C23" s="7"/>
      <c r="D23" s="7"/>
    </row>
    <row r="24" spans="2:9" x14ac:dyDescent="0.15">
      <c r="B24" s="5" t="s">
        <v>57</v>
      </c>
      <c r="C24" s="7">
        <v>15</v>
      </c>
      <c r="D24" s="5">
        <v>12</v>
      </c>
    </row>
    <row r="25" spans="2:9" x14ac:dyDescent="0.15">
      <c r="B25" s="5" t="s">
        <v>58</v>
      </c>
      <c r="C25" s="7">
        <v>-1</v>
      </c>
      <c r="D25" s="17">
        <v>-3</v>
      </c>
    </row>
    <row r="26" spans="2:9" x14ac:dyDescent="0.15">
      <c r="B26" s="14" t="s">
        <v>39</v>
      </c>
      <c r="C26" s="15">
        <f>SUM(C24:C25)</f>
        <v>14</v>
      </c>
      <c r="D26" s="15">
        <f>SUM(D24:D25)</f>
        <v>9</v>
      </c>
    </row>
    <row r="27" spans="2:9" ht="13" thickBot="1" x14ac:dyDescent="0.2">
      <c r="B27" s="9" t="s">
        <v>38</v>
      </c>
      <c r="C27" s="10">
        <v>4128</v>
      </c>
      <c r="D27" s="10">
        <v>14360</v>
      </c>
    </row>
    <row r="28" spans="2:9" x14ac:dyDescent="0.15">
      <c r="C28" s="7"/>
      <c r="D28" s="7"/>
    </row>
    <row r="29" spans="2:9" x14ac:dyDescent="0.15">
      <c r="C29" s="7"/>
    </row>
    <row r="30" spans="2:9" x14ac:dyDescent="0.15">
      <c r="B30" s="32" t="s">
        <v>28</v>
      </c>
      <c r="C30" s="32"/>
    </row>
    <row r="31" spans="2:9" x14ac:dyDescent="0.15">
      <c r="B31" s="5" t="s">
        <v>22</v>
      </c>
      <c r="C31" s="7">
        <v>9779</v>
      </c>
    </row>
    <row r="32" spans="2:9" x14ac:dyDescent="0.15">
      <c r="B32" s="5" t="s">
        <v>54</v>
      </c>
      <c r="C32" s="7">
        <v>8623</v>
      </c>
    </row>
    <row r="33" spans="2:3" x14ac:dyDescent="0.15">
      <c r="B33" s="5" t="s">
        <v>55</v>
      </c>
      <c r="C33" s="7">
        <v>9052</v>
      </c>
    </row>
    <row r="34" spans="2:3" x14ac:dyDescent="0.15">
      <c r="C34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5966-2AE7-4E2A-8191-2161AD17ABCA}">
  <sheetPr>
    <tabColor rgb="FF0070C0"/>
  </sheetPr>
  <dimension ref="B1:G49"/>
  <sheetViews>
    <sheetView showGridLines="0" zoomScale="219" zoomScaleNormal="150" workbookViewId="0">
      <selection activeCell="E22" sqref="E22"/>
    </sheetView>
  </sheetViews>
  <sheetFormatPr baseColWidth="10" defaultColWidth="8.83203125" defaultRowHeight="12" x14ac:dyDescent="0.15"/>
  <cols>
    <col min="1" max="1" width="2" style="5" customWidth="1"/>
    <col min="2" max="2" width="28.1640625" style="5" customWidth="1"/>
    <col min="3" max="3" width="14.1640625" style="5" customWidth="1"/>
    <col min="4" max="4" width="13.33203125" style="5" customWidth="1"/>
    <col min="5" max="5" width="9.1640625" style="5" bestFit="1" customWidth="1"/>
    <col min="6" max="6" width="9.5" style="37" bestFit="1" customWidth="1"/>
    <col min="7" max="7" width="8.83203125" style="37"/>
    <col min="8" max="16384" width="8.83203125" style="5"/>
  </cols>
  <sheetData>
    <row r="1" spans="2:5" ht="16" x14ac:dyDescent="0.2">
      <c r="B1" s="24" t="s">
        <v>98</v>
      </c>
    </row>
    <row r="2" spans="2:5" ht="16" x14ac:dyDescent="0.2">
      <c r="B2" s="24" t="s">
        <v>59</v>
      </c>
      <c r="C2" s="25"/>
      <c r="D2" s="25"/>
    </row>
    <row r="3" spans="2:5" ht="16" x14ac:dyDescent="0.2">
      <c r="B3" s="24"/>
      <c r="C3" s="25"/>
      <c r="D3" s="25"/>
    </row>
    <row r="4" spans="2:5" x14ac:dyDescent="0.15">
      <c r="B4" s="26"/>
      <c r="C4" s="27" t="s">
        <v>25</v>
      </c>
      <c r="D4" s="27" t="s">
        <v>26</v>
      </c>
    </row>
    <row r="5" spans="2:5" ht="13" thickBot="1" x14ac:dyDescent="0.2">
      <c r="B5" s="23" t="s">
        <v>27</v>
      </c>
      <c r="C5" s="28">
        <v>45291</v>
      </c>
      <c r="D5" s="28">
        <v>44926</v>
      </c>
      <c r="E5" s="28" t="s">
        <v>79</v>
      </c>
    </row>
    <row r="6" spans="2:5" ht="13" thickTop="1" x14ac:dyDescent="0.15"/>
    <row r="7" spans="2:5" x14ac:dyDescent="0.15">
      <c r="B7" s="5" t="s">
        <v>5</v>
      </c>
    </row>
    <row r="8" spans="2:5" x14ac:dyDescent="0.15">
      <c r="B8" s="11" t="s">
        <v>7</v>
      </c>
    </row>
    <row r="9" spans="2:5" x14ac:dyDescent="0.15">
      <c r="B9" s="5" t="s">
        <v>6</v>
      </c>
      <c r="C9" s="8">
        <v>109283</v>
      </c>
      <c r="D9" s="8">
        <v>129447</v>
      </c>
      <c r="E9" s="8">
        <f>D9+Workings!C6+Workings!C7-'Balance Sheet'!C9</f>
        <v>0</v>
      </c>
    </row>
    <row r="10" spans="2:5" x14ac:dyDescent="0.15">
      <c r="B10" s="5" t="s">
        <v>44</v>
      </c>
      <c r="C10" s="8">
        <v>18118</v>
      </c>
      <c r="D10" s="8">
        <v>9066</v>
      </c>
      <c r="E10" s="8">
        <f>C10-D10</f>
        <v>9052</v>
      </c>
    </row>
    <row r="11" spans="2:5" x14ac:dyDescent="0.15">
      <c r="B11" s="14" t="s">
        <v>45</v>
      </c>
      <c r="C11" s="16">
        <f>SUM(C9:C10)</f>
        <v>127401</v>
      </c>
      <c r="D11" s="16">
        <f>SUM(D9:D10)</f>
        <v>138513</v>
      </c>
      <c r="E11" s="8">
        <f>C11-D11</f>
        <v>-11112</v>
      </c>
    </row>
    <row r="12" spans="2:5" x14ac:dyDescent="0.15">
      <c r="C12" s="17"/>
      <c r="D12" s="17"/>
      <c r="E12" s="8"/>
    </row>
    <row r="13" spans="2:5" x14ac:dyDescent="0.15">
      <c r="B13" s="11" t="s">
        <v>8</v>
      </c>
      <c r="E13" s="8"/>
    </row>
    <row r="14" spans="2:5" x14ac:dyDescent="0.15">
      <c r="B14" s="5" t="s">
        <v>9</v>
      </c>
      <c r="C14" s="19">
        <v>31398</v>
      </c>
      <c r="D14" s="12">
        <v>21150</v>
      </c>
      <c r="E14" s="8">
        <f t="shared" ref="E14:E37" si="0">C14-D14</f>
        <v>10248</v>
      </c>
    </row>
    <row r="15" spans="2:5" x14ac:dyDescent="0.15">
      <c r="B15" s="5" t="s">
        <v>10</v>
      </c>
      <c r="C15" s="19">
        <v>13743</v>
      </c>
      <c r="D15" s="12">
        <v>35885</v>
      </c>
      <c r="E15" s="8">
        <f t="shared" si="0"/>
        <v>-22142</v>
      </c>
    </row>
    <row r="16" spans="2:5" x14ac:dyDescent="0.15">
      <c r="B16" s="5" t="s">
        <v>11</v>
      </c>
      <c r="C16" s="20">
        <v>3576</v>
      </c>
      <c r="D16" s="7">
        <v>16813</v>
      </c>
      <c r="E16" s="8">
        <f t="shared" si="0"/>
        <v>-13237</v>
      </c>
    </row>
    <row r="17" spans="2:6" x14ac:dyDescent="0.15">
      <c r="B17" s="14" t="s">
        <v>46</v>
      </c>
      <c r="C17" s="22">
        <f>SUM(C14:C16)</f>
        <v>48717</v>
      </c>
      <c r="D17" s="22">
        <f>SUM(D14:D16)</f>
        <v>73848</v>
      </c>
      <c r="E17" s="8">
        <f t="shared" si="0"/>
        <v>-25131</v>
      </c>
    </row>
    <row r="18" spans="2:6" ht="13" thickBot="1" x14ac:dyDescent="0.2">
      <c r="B18" s="9" t="s">
        <v>12</v>
      </c>
      <c r="C18" s="13">
        <f>C11+C17</f>
        <v>176118</v>
      </c>
      <c r="D18" s="13">
        <f>D11+D17</f>
        <v>212361</v>
      </c>
      <c r="E18" s="8">
        <f t="shared" si="0"/>
        <v>-36243</v>
      </c>
    </row>
    <row r="19" spans="2:6" x14ac:dyDescent="0.15">
      <c r="E19" s="8"/>
    </row>
    <row r="20" spans="2:6" x14ac:dyDescent="0.15">
      <c r="B20" s="5" t="s">
        <v>16</v>
      </c>
      <c r="E20" s="8"/>
    </row>
    <row r="21" spans="2:6" x14ac:dyDescent="0.15">
      <c r="B21" s="11" t="s">
        <v>14</v>
      </c>
      <c r="E21" s="8"/>
    </row>
    <row r="22" spans="2:6" x14ac:dyDescent="0.15">
      <c r="B22" s="5" t="s">
        <v>29</v>
      </c>
      <c r="C22" s="17">
        <v>29337</v>
      </c>
      <c r="D22" s="17">
        <v>29337</v>
      </c>
      <c r="E22" s="8">
        <f>D22-C22</f>
        <v>0</v>
      </c>
    </row>
    <row r="23" spans="2:6" x14ac:dyDescent="0.15">
      <c r="B23" s="5" t="s">
        <v>15</v>
      </c>
      <c r="C23" s="17">
        <v>59109</v>
      </c>
      <c r="D23" s="17">
        <v>64760</v>
      </c>
      <c r="E23" s="8">
        <f>D23-C23</f>
        <v>5651</v>
      </c>
    </row>
    <row r="24" spans="2:6" ht="13" thickBot="1" x14ac:dyDescent="0.2">
      <c r="B24" s="9" t="s">
        <v>30</v>
      </c>
      <c r="C24" s="21">
        <f>SUM(C22:C23)</f>
        <v>88446</v>
      </c>
      <c r="D24" s="10">
        <f>SUM(D22:D23)</f>
        <v>94097</v>
      </c>
      <c r="E24" s="8">
        <f t="shared" si="0"/>
        <v>-5651</v>
      </c>
    </row>
    <row r="25" spans="2:6" x14ac:dyDescent="0.15">
      <c r="E25" s="8"/>
    </row>
    <row r="26" spans="2:6" x14ac:dyDescent="0.15">
      <c r="B26" s="11" t="s">
        <v>17</v>
      </c>
      <c r="E26" s="8"/>
    </row>
    <row r="27" spans="2:6" x14ac:dyDescent="0.15">
      <c r="B27" s="5" t="s">
        <v>18</v>
      </c>
      <c r="C27" s="17">
        <v>13902</v>
      </c>
      <c r="D27" s="17">
        <v>15657</v>
      </c>
      <c r="E27" s="8">
        <f t="shared" si="0"/>
        <v>-1755</v>
      </c>
    </row>
    <row r="28" spans="2:6" x14ac:dyDescent="0.15">
      <c r="B28" s="5" t="s">
        <v>56</v>
      </c>
      <c r="C28" s="17">
        <v>17718</v>
      </c>
      <c r="D28" s="17">
        <v>17732</v>
      </c>
      <c r="E28" s="8">
        <f t="shared" si="0"/>
        <v>-14</v>
      </c>
      <c r="F28" s="37" t="s">
        <v>81</v>
      </c>
    </row>
    <row r="29" spans="2:6" x14ac:dyDescent="0.15">
      <c r="B29" s="14" t="s">
        <v>47</v>
      </c>
      <c r="C29" s="16">
        <f>SUM(C27:C28)</f>
        <v>31620</v>
      </c>
      <c r="D29" s="16">
        <f>SUM(D27:D28)</f>
        <v>33389</v>
      </c>
      <c r="E29" s="8">
        <f t="shared" si="0"/>
        <v>-1769</v>
      </c>
    </row>
    <row r="30" spans="2:6" x14ac:dyDescent="0.15">
      <c r="E30" s="8"/>
    </row>
    <row r="31" spans="2:6" x14ac:dyDescent="0.15">
      <c r="B31" s="11" t="s">
        <v>19</v>
      </c>
      <c r="E31" s="8"/>
    </row>
    <row r="32" spans="2:6" x14ac:dyDescent="0.15">
      <c r="B32" s="5" t="s">
        <v>48</v>
      </c>
      <c r="C32" s="17">
        <v>21721</v>
      </c>
      <c r="D32" s="17">
        <v>25813</v>
      </c>
      <c r="E32" s="8">
        <f t="shared" si="0"/>
        <v>-4092</v>
      </c>
    </row>
    <row r="33" spans="2:5" x14ac:dyDescent="0.15">
      <c r="B33" s="5" t="s">
        <v>20</v>
      </c>
      <c r="C33" s="17">
        <v>34331</v>
      </c>
      <c r="D33" s="17">
        <v>59062</v>
      </c>
      <c r="E33" s="8">
        <f t="shared" si="0"/>
        <v>-24731</v>
      </c>
    </row>
    <row r="34" spans="2:5" x14ac:dyDescent="0.15">
      <c r="B34" s="14" t="s">
        <v>49</v>
      </c>
      <c r="C34" s="33">
        <f>SUM(C32:C33)</f>
        <v>56052</v>
      </c>
      <c r="D34" s="33">
        <f>SUM(D32:D33)</f>
        <v>84875</v>
      </c>
      <c r="E34" s="8">
        <f t="shared" si="0"/>
        <v>-28823</v>
      </c>
    </row>
    <row r="35" spans="2:5" ht="13" thickBot="1" x14ac:dyDescent="0.2">
      <c r="B35" s="9" t="s">
        <v>31</v>
      </c>
      <c r="C35" s="21">
        <f>C29+C34</f>
        <v>87672</v>
      </c>
      <c r="D35" s="21">
        <f>D29+D34</f>
        <v>118264</v>
      </c>
      <c r="E35" s="8">
        <f t="shared" si="0"/>
        <v>-30592</v>
      </c>
    </row>
    <row r="36" spans="2:5" x14ac:dyDescent="0.15">
      <c r="B36" s="14"/>
      <c r="C36" s="22"/>
      <c r="D36" s="15"/>
      <c r="E36" s="8"/>
    </row>
    <row r="37" spans="2:5" ht="13" thickBot="1" x14ac:dyDescent="0.2">
      <c r="B37" s="9" t="s">
        <v>21</v>
      </c>
      <c r="C37" s="13">
        <f>C24+C35</f>
        <v>176118</v>
      </c>
      <c r="D37" s="13">
        <f>D24+D35</f>
        <v>212361</v>
      </c>
      <c r="E37" s="8">
        <f t="shared" si="0"/>
        <v>-36243</v>
      </c>
    </row>
    <row r="40" spans="2:5" x14ac:dyDescent="0.15">
      <c r="B40" s="39" t="s">
        <v>24</v>
      </c>
      <c r="C40" s="40">
        <f>C18-C37</f>
        <v>0</v>
      </c>
      <c r="D40" s="40">
        <f>D18-D37</f>
        <v>0</v>
      </c>
      <c r="E40" s="14" t="s">
        <v>80</v>
      </c>
    </row>
    <row r="44" spans="2:5" x14ac:dyDescent="0.15">
      <c r="C44" s="8"/>
      <c r="D44" s="8"/>
    </row>
    <row r="46" spans="2:5" x14ac:dyDescent="0.15">
      <c r="C46" s="8"/>
      <c r="D46" s="8"/>
    </row>
    <row r="48" spans="2:5" x14ac:dyDescent="0.15">
      <c r="C48" s="8"/>
      <c r="D48" s="8"/>
    </row>
    <row r="49" spans="3:3" x14ac:dyDescent="0.15">
      <c r="C49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DDBC-9377-468A-B6C3-6DD93F3FADAA}">
  <sheetPr>
    <tabColor rgb="FF0070C0"/>
  </sheetPr>
  <dimension ref="B1:G20"/>
  <sheetViews>
    <sheetView showGridLines="0" zoomScale="235" workbookViewId="0">
      <selection activeCell="B2" sqref="B2"/>
    </sheetView>
  </sheetViews>
  <sheetFormatPr baseColWidth="10" defaultColWidth="8.83203125" defaultRowHeight="15" x14ac:dyDescent="0.2"/>
  <cols>
    <col min="1" max="1" width="3" customWidth="1"/>
    <col min="2" max="2" width="25.83203125" customWidth="1"/>
    <col min="4" max="4" width="10.5" customWidth="1"/>
    <col min="5" max="5" width="9.5" customWidth="1"/>
    <col min="6" max="6" width="9.83203125" bestFit="1" customWidth="1"/>
  </cols>
  <sheetData>
    <row r="1" spans="2:7" ht="16" x14ac:dyDescent="0.2">
      <c r="B1" s="24" t="s">
        <v>97</v>
      </c>
    </row>
    <row r="2" spans="2:7" ht="16" x14ac:dyDescent="0.2">
      <c r="B2" s="24" t="s">
        <v>59</v>
      </c>
      <c r="C2" s="31"/>
      <c r="D2" s="31"/>
      <c r="E2" s="31"/>
      <c r="F2" s="31"/>
    </row>
    <row r="3" spans="2:7" x14ac:dyDescent="0.2">
      <c r="B3" s="31"/>
      <c r="C3" s="31"/>
      <c r="D3" s="34"/>
      <c r="E3" s="34"/>
      <c r="F3" s="34"/>
    </row>
    <row r="4" spans="2:7" ht="28" thickBot="1" x14ac:dyDescent="0.25">
      <c r="B4" s="23"/>
      <c r="C4" s="23"/>
      <c r="D4" s="36" t="s">
        <v>40</v>
      </c>
      <c r="E4" s="35" t="s">
        <v>15</v>
      </c>
      <c r="F4" s="35" t="s">
        <v>41</v>
      </c>
      <c r="G4" s="5"/>
    </row>
    <row r="5" spans="2:7" ht="16" thickTop="1" x14ac:dyDescent="0.2">
      <c r="B5" s="5"/>
      <c r="C5" s="5"/>
      <c r="D5" s="5"/>
      <c r="E5" s="5"/>
      <c r="F5" s="5"/>
      <c r="G5" s="5"/>
    </row>
    <row r="6" spans="2:7" x14ac:dyDescent="0.2">
      <c r="B6" s="14" t="s">
        <v>50</v>
      </c>
      <c r="C6" s="14"/>
      <c r="D6" s="33">
        <v>29337</v>
      </c>
      <c r="E6" s="33">
        <v>50400</v>
      </c>
      <c r="F6" s="33">
        <f>SUM(D6:E6)</f>
        <v>79737</v>
      </c>
      <c r="G6" s="17"/>
    </row>
    <row r="7" spans="2:7" x14ac:dyDescent="0.2">
      <c r="B7" s="5" t="s">
        <v>42</v>
      </c>
      <c r="C7" s="5"/>
      <c r="D7" s="17">
        <v>0</v>
      </c>
      <c r="E7" s="17">
        <f>'Income Statement'!D20</f>
        <v>14351</v>
      </c>
      <c r="F7" s="17">
        <f>SUM(D7:E7)</f>
        <v>14351</v>
      </c>
      <c r="G7" s="17"/>
    </row>
    <row r="8" spans="2:7" x14ac:dyDescent="0.2">
      <c r="B8" s="5" t="s">
        <v>43</v>
      </c>
      <c r="C8" s="5"/>
      <c r="D8" s="17">
        <v>0</v>
      </c>
      <c r="E8" s="17">
        <f>'Income Statement'!D26</f>
        <v>9</v>
      </c>
      <c r="F8" s="17">
        <f>SUM(D8:E8)</f>
        <v>9</v>
      </c>
      <c r="G8" s="17"/>
    </row>
    <row r="9" spans="2:7" x14ac:dyDescent="0.2">
      <c r="B9" s="14" t="s">
        <v>38</v>
      </c>
      <c r="C9" s="14"/>
      <c r="D9" s="33">
        <f>D7+D8</f>
        <v>0</v>
      </c>
      <c r="E9" s="33">
        <f>E7+E8</f>
        <v>14360</v>
      </c>
      <c r="F9" s="33">
        <f>F7+F8</f>
        <v>14360</v>
      </c>
      <c r="G9" s="17"/>
    </row>
    <row r="10" spans="2:7" ht="16" thickBot="1" x14ac:dyDescent="0.25">
      <c r="B10" s="9" t="s">
        <v>51</v>
      </c>
      <c r="C10" s="9"/>
      <c r="D10" s="10">
        <f>D9+D6</f>
        <v>29337</v>
      </c>
      <c r="E10" s="10">
        <f t="shared" ref="E10:F10" si="0">E9+E6</f>
        <v>64760</v>
      </c>
      <c r="F10" s="10">
        <f t="shared" si="0"/>
        <v>94097</v>
      </c>
      <c r="G10" s="17"/>
    </row>
    <row r="11" spans="2:7" x14ac:dyDescent="0.2">
      <c r="B11" s="5"/>
      <c r="C11" s="5"/>
      <c r="D11" s="17"/>
      <c r="E11" s="17"/>
      <c r="F11" s="17"/>
      <c r="G11" s="17"/>
    </row>
    <row r="12" spans="2:7" x14ac:dyDescent="0.2">
      <c r="B12" s="14" t="s">
        <v>52</v>
      </c>
      <c r="C12" s="14"/>
      <c r="D12" s="33">
        <v>29337</v>
      </c>
      <c r="E12" s="33">
        <v>64760</v>
      </c>
      <c r="F12" s="33">
        <f>SUM(D12:E12)</f>
        <v>94097</v>
      </c>
      <c r="G12" s="17"/>
    </row>
    <row r="13" spans="2:7" x14ac:dyDescent="0.2">
      <c r="B13" s="5" t="s">
        <v>42</v>
      </c>
      <c r="C13" s="5"/>
      <c r="D13" s="17">
        <v>0</v>
      </c>
      <c r="E13" s="17">
        <f>'Income Statement'!C20</f>
        <v>4114</v>
      </c>
      <c r="F13" s="17">
        <f>SUM(D13:E13)</f>
        <v>4114</v>
      </c>
      <c r="G13" s="17"/>
    </row>
    <row r="14" spans="2:7" x14ac:dyDescent="0.2">
      <c r="B14" s="5" t="s">
        <v>43</v>
      </c>
      <c r="C14" s="5"/>
      <c r="D14" s="17">
        <v>0</v>
      </c>
      <c r="E14" s="17">
        <f>'Income Statement'!C26</f>
        <v>14</v>
      </c>
      <c r="F14" s="17">
        <f>SUM(D14:E14)</f>
        <v>14</v>
      </c>
      <c r="G14" s="17"/>
    </row>
    <row r="15" spans="2:7" x14ac:dyDescent="0.2">
      <c r="B15" s="5" t="s">
        <v>38</v>
      </c>
      <c r="C15" s="5"/>
      <c r="D15" s="33">
        <v>0</v>
      </c>
      <c r="E15" s="33">
        <f>E13+E14</f>
        <v>4128</v>
      </c>
      <c r="F15" s="33">
        <f>SUM(D15:E15)</f>
        <v>4128</v>
      </c>
      <c r="G15" s="17"/>
    </row>
    <row r="16" spans="2:7" x14ac:dyDescent="0.2">
      <c r="B16" s="5" t="s">
        <v>23</v>
      </c>
      <c r="C16" s="5"/>
      <c r="D16" s="17">
        <v>0</v>
      </c>
      <c r="E16" s="17">
        <f>-'Income Statement'!C31</f>
        <v>-9779</v>
      </c>
      <c r="F16" s="17">
        <f>SUM(D16:E16)</f>
        <v>-9779</v>
      </c>
      <c r="G16" s="17"/>
    </row>
    <row r="17" spans="2:7" ht="16" thickBot="1" x14ac:dyDescent="0.25">
      <c r="B17" s="9" t="s">
        <v>53</v>
      </c>
      <c r="C17" s="9"/>
      <c r="D17" s="10">
        <f>D12+D15+D16</f>
        <v>29337</v>
      </c>
      <c r="E17" s="10">
        <f t="shared" ref="E17:F17" si="1">E12+E15+E16</f>
        <v>59109</v>
      </c>
      <c r="F17" s="10">
        <f t="shared" si="1"/>
        <v>88446</v>
      </c>
      <c r="G17" s="17"/>
    </row>
    <row r="18" spans="2:7" x14ac:dyDescent="0.2">
      <c r="B18" s="5"/>
      <c r="C18" s="5"/>
      <c r="D18" s="17"/>
      <c r="E18" s="17"/>
      <c r="F18" s="17"/>
      <c r="G18" s="17"/>
    </row>
    <row r="19" spans="2:7" x14ac:dyDescent="0.2">
      <c r="B19" s="14" t="s">
        <v>24</v>
      </c>
      <c r="C19" s="5"/>
      <c r="D19" s="18">
        <f>'Balance Sheet'!C22</f>
        <v>29337</v>
      </c>
      <c r="E19" s="18">
        <f>'Balance Sheet'!C23</f>
        <v>59109</v>
      </c>
      <c r="F19" s="18">
        <f>D19+E19</f>
        <v>88446</v>
      </c>
      <c r="G19" s="17"/>
    </row>
    <row r="20" spans="2:7" x14ac:dyDescent="0.2">
      <c r="B20" s="5"/>
      <c r="C20" s="5"/>
      <c r="D20" s="17">
        <f>D17-D19</f>
        <v>0</v>
      </c>
      <c r="E20" s="17">
        <f t="shared" ref="E20:F20" si="2">E17-E19</f>
        <v>0</v>
      </c>
      <c r="F20" s="17">
        <f t="shared" si="2"/>
        <v>0</v>
      </c>
      <c r="G2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C83C-ECEC-CD4D-A422-8DE434020EAB}">
  <sheetPr>
    <tabColor rgb="FF0070C0"/>
  </sheetPr>
  <dimension ref="B1:D18"/>
  <sheetViews>
    <sheetView zoomScale="269" workbookViewId="0">
      <selection activeCell="D19" sqref="D19"/>
    </sheetView>
  </sheetViews>
  <sheetFormatPr baseColWidth="10" defaultRowHeight="12" x14ac:dyDescent="0.15"/>
  <cols>
    <col min="1" max="1" width="2.1640625" style="41" customWidth="1"/>
    <col min="2" max="2" width="34.6640625" style="41" bestFit="1" customWidth="1"/>
    <col min="3" max="16384" width="10.83203125" style="41"/>
  </cols>
  <sheetData>
    <row r="1" spans="2:4" x14ac:dyDescent="0.15">
      <c r="B1" s="43" t="s">
        <v>83</v>
      </c>
    </row>
    <row r="2" spans="2:4" x14ac:dyDescent="0.15">
      <c r="B2" s="43" t="s">
        <v>82</v>
      </c>
    </row>
    <row r="4" spans="2:4" x14ac:dyDescent="0.15">
      <c r="B4" s="44" t="s">
        <v>84</v>
      </c>
      <c r="C4" s="45"/>
    </row>
    <row r="5" spans="2:4" ht="13" thickBot="1" x14ac:dyDescent="0.2">
      <c r="B5" s="46" t="s">
        <v>85</v>
      </c>
      <c r="C5" s="47">
        <f>'Balance Sheet'!D9</f>
        <v>129447</v>
      </c>
    </row>
    <row r="6" spans="2:4" x14ac:dyDescent="0.15">
      <c r="B6" s="41" t="s">
        <v>86</v>
      </c>
      <c r="C6" s="45">
        <f>'Income Statement'!C32</f>
        <v>8623</v>
      </c>
    </row>
    <row r="7" spans="2:4" x14ac:dyDescent="0.15">
      <c r="B7" s="41" t="s">
        <v>87</v>
      </c>
      <c r="C7" s="45">
        <f>'Income Statement'!C12</f>
        <v>-28787</v>
      </c>
    </row>
    <row r="8" spans="2:4" ht="13" thickBot="1" x14ac:dyDescent="0.2">
      <c r="B8" s="46" t="s">
        <v>88</v>
      </c>
      <c r="C8" s="47">
        <f>SUM(C5:C7)</f>
        <v>109283</v>
      </c>
    </row>
    <row r="9" spans="2:4" x14ac:dyDescent="0.15">
      <c r="C9" s="48">
        <f>'Balance Sheet'!C9-Workings!C8</f>
        <v>0</v>
      </c>
      <c r="D9" s="44" t="s">
        <v>24</v>
      </c>
    </row>
    <row r="10" spans="2:4" x14ac:dyDescent="0.15">
      <c r="C10" s="45"/>
    </row>
    <row r="11" spans="2:4" ht="15" x14ac:dyDescent="0.2">
      <c r="B11" s="38"/>
      <c r="C11" s="38"/>
      <c r="D11" s="38"/>
    </row>
    <row r="12" spans="2:4" x14ac:dyDescent="0.15">
      <c r="B12" s="44" t="s">
        <v>89</v>
      </c>
    </row>
    <row r="13" spans="2:4" ht="13" thickBot="1" x14ac:dyDescent="0.2">
      <c r="B13" s="46" t="s">
        <v>90</v>
      </c>
      <c r="C13" s="47">
        <f>'Balance Sheet'!D23</f>
        <v>64760</v>
      </c>
    </row>
    <row r="14" spans="2:4" x14ac:dyDescent="0.15">
      <c r="B14" s="41" t="s">
        <v>91</v>
      </c>
      <c r="C14" s="45">
        <f>'Income Statement'!C20</f>
        <v>4114</v>
      </c>
    </row>
    <row r="15" spans="2:4" x14ac:dyDescent="0.15">
      <c r="B15" s="41" t="s">
        <v>92</v>
      </c>
      <c r="C15" s="41">
        <f>'Income Statement'!C26</f>
        <v>14</v>
      </c>
    </row>
    <row r="16" spans="2:4" x14ac:dyDescent="0.15">
      <c r="B16" s="41" t="s">
        <v>93</v>
      </c>
      <c r="C16" s="45">
        <f>'Income Statement'!C31</f>
        <v>9779</v>
      </c>
    </row>
    <row r="17" spans="2:4" ht="13" thickBot="1" x14ac:dyDescent="0.2">
      <c r="B17" s="46" t="s">
        <v>94</v>
      </c>
      <c r="C17" s="47">
        <f>C13+C14+C15-C16</f>
        <v>59109</v>
      </c>
    </row>
    <row r="18" spans="2:4" x14ac:dyDescent="0.15">
      <c r="C18" s="48">
        <f>'Balance Sheet'!C23-Workings!C17</f>
        <v>0</v>
      </c>
      <c r="D18" s="4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522D-0578-6843-B3DA-80562DD99ACD}">
  <sheetPr>
    <tabColor rgb="FF0070C0"/>
  </sheetPr>
  <dimension ref="B1:F60"/>
  <sheetViews>
    <sheetView tabSelected="1" zoomScale="269" workbookViewId="0">
      <pane ySplit="5" topLeftCell="A6" activePane="bottomLeft" state="frozen"/>
      <selection pane="bottomLeft" activeCell="B48" sqref="B48"/>
    </sheetView>
  </sheetViews>
  <sheetFormatPr baseColWidth="10" defaultRowHeight="12" outlineLevelRow="1" x14ac:dyDescent="0.15"/>
  <cols>
    <col min="1" max="1" width="2.1640625" style="41" customWidth="1"/>
    <col min="2" max="2" width="41.33203125" style="41" bestFit="1" customWidth="1"/>
    <col min="3" max="3" width="10.83203125" style="41"/>
    <col min="4" max="4" width="2.1640625" style="41" customWidth="1"/>
    <col min="5" max="5" width="39.33203125" style="41" bestFit="1" customWidth="1"/>
    <col min="6" max="16384" width="10.83203125" style="41"/>
  </cols>
  <sheetData>
    <row r="1" spans="2:6" ht="16" x14ac:dyDescent="0.2">
      <c r="B1" s="49" t="s">
        <v>95</v>
      </c>
    </row>
    <row r="2" spans="2:6" ht="16" x14ac:dyDescent="0.2">
      <c r="B2" s="49" t="s">
        <v>59</v>
      </c>
    </row>
    <row r="3" spans="2:6" ht="16" x14ac:dyDescent="0.2">
      <c r="B3" s="49" t="s">
        <v>96</v>
      </c>
    </row>
    <row r="5" spans="2:6" ht="13" thickBot="1" x14ac:dyDescent="0.2">
      <c r="B5" s="50" t="s">
        <v>27</v>
      </c>
      <c r="C5" s="51">
        <v>2023</v>
      </c>
      <c r="D5" s="52"/>
    </row>
    <row r="6" spans="2:6" ht="13" thickTop="1" x14ac:dyDescent="0.15">
      <c r="B6" s="53"/>
      <c r="C6" s="52"/>
      <c r="D6" s="52"/>
    </row>
    <row r="7" spans="2:6" x14ac:dyDescent="0.15">
      <c r="B7" s="42" t="s">
        <v>100</v>
      </c>
    </row>
    <row r="8" spans="2:6" outlineLevel="1" x14ac:dyDescent="0.15">
      <c r="B8" s="41" t="s">
        <v>2</v>
      </c>
      <c r="C8" s="54">
        <f>'Income Statement'!C20</f>
        <v>4114</v>
      </c>
      <c r="D8" s="54"/>
    </row>
    <row r="9" spans="2:6" outlineLevel="1" x14ac:dyDescent="0.15">
      <c r="B9" s="41" t="s">
        <v>101</v>
      </c>
      <c r="C9" s="54">
        <f>-'Income Statement'!C19</f>
        <v>633</v>
      </c>
      <c r="D9" s="54"/>
      <c r="E9" s="55"/>
      <c r="F9" s="56"/>
    </row>
    <row r="10" spans="2:6" outlineLevel="1" x14ac:dyDescent="0.15">
      <c r="B10" s="41" t="s">
        <v>102</v>
      </c>
      <c r="C10" s="54">
        <f>-'Income Statement'!C16</f>
        <v>495</v>
      </c>
      <c r="D10" s="54"/>
      <c r="E10" s="55"/>
      <c r="F10" s="56"/>
    </row>
    <row r="11" spans="2:6" x14ac:dyDescent="0.15">
      <c r="B11" s="44" t="s">
        <v>103</v>
      </c>
      <c r="C11" s="57">
        <f>SUM(C8:C10)</f>
        <v>5242</v>
      </c>
      <c r="D11" s="58"/>
    </row>
    <row r="12" spans="2:6" x14ac:dyDescent="0.15">
      <c r="B12" s="44"/>
      <c r="C12" s="57"/>
      <c r="D12" s="58"/>
    </row>
    <row r="13" spans="2:6" x14ac:dyDescent="0.15">
      <c r="B13" s="59" t="s">
        <v>104</v>
      </c>
    </row>
    <row r="14" spans="2:6" x14ac:dyDescent="0.15">
      <c r="B14" s="41" t="s">
        <v>60</v>
      </c>
      <c r="C14" s="54">
        <f>-'Income Statement'!C12</f>
        <v>28787</v>
      </c>
      <c r="D14" s="54"/>
      <c r="E14" s="60" t="s">
        <v>105</v>
      </c>
      <c r="F14" s="56"/>
    </row>
    <row r="15" spans="2:6" x14ac:dyDescent="0.15">
      <c r="C15" s="54"/>
      <c r="D15" s="54"/>
      <c r="E15" s="56"/>
      <c r="F15" s="56"/>
    </row>
    <row r="16" spans="2:6" x14ac:dyDescent="0.15">
      <c r="B16" s="59" t="s">
        <v>106</v>
      </c>
      <c r="C16" s="61"/>
      <c r="D16" s="54"/>
      <c r="E16" s="56"/>
      <c r="F16" s="56"/>
    </row>
    <row r="17" spans="2:6" x14ac:dyDescent="0.15">
      <c r="B17" s="41" t="s">
        <v>61</v>
      </c>
      <c r="C17" s="45">
        <f>-'Balance Sheet'!E14</f>
        <v>-10248</v>
      </c>
      <c r="D17" s="54"/>
      <c r="E17" s="82" t="s">
        <v>107</v>
      </c>
      <c r="F17" s="62"/>
    </row>
    <row r="18" spans="2:6" x14ac:dyDescent="0.15">
      <c r="B18" s="41" t="s">
        <v>76</v>
      </c>
      <c r="C18" s="45">
        <f>-'Balance Sheet'!E15</f>
        <v>22142</v>
      </c>
      <c r="D18" s="54"/>
      <c r="E18" s="83"/>
      <c r="F18" s="62"/>
    </row>
    <row r="19" spans="2:6" x14ac:dyDescent="0.15">
      <c r="B19" s="41" t="s">
        <v>108</v>
      </c>
      <c r="C19" s="63">
        <f>'Balance Sheet'!E33</f>
        <v>-24731</v>
      </c>
      <c r="D19" s="54"/>
      <c r="E19" s="84"/>
      <c r="F19" s="62"/>
    </row>
    <row r="20" spans="2:6" x14ac:dyDescent="0.15">
      <c r="C20" s="64">
        <f>SUM(C17:C19)</f>
        <v>-12837</v>
      </c>
      <c r="D20" s="54"/>
      <c r="E20" s="65"/>
      <c r="F20" s="62"/>
    </row>
    <row r="21" spans="2:6" x14ac:dyDescent="0.15">
      <c r="C21" s="66"/>
      <c r="E21" s="65"/>
      <c r="F21" s="65"/>
    </row>
    <row r="22" spans="2:6" x14ac:dyDescent="0.15">
      <c r="B22" s="42" t="s">
        <v>62</v>
      </c>
      <c r="C22" s="67">
        <f>SUM(C11:C19)</f>
        <v>21192</v>
      </c>
      <c r="D22" s="58"/>
    </row>
    <row r="24" spans="2:6" x14ac:dyDescent="0.15">
      <c r="B24" s="41" t="s">
        <v>23</v>
      </c>
      <c r="C24" s="66">
        <f>-'Income Statement'!C31</f>
        <v>-9779</v>
      </c>
      <c r="D24" s="66"/>
      <c r="E24" s="68"/>
      <c r="F24" s="68"/>
    </row>
    <row r="25" spans="2:6" x14ac:dyDescent="0.15">
      <c r="B25" s="41" t="s">
        <v>63</v>
      </c>
      <c r="C25" s="66">
        <f>'Income Statement'!C16</f>
        <v>-495</v>
      </c>
      <c r="D25" s="66"/>
      <c r="E25" s="69"/>
      <c r="F25" s="68"/>
    </row>
    <row r="26" spans="2:6" x14ac:dyDescent="0.15">
      <c r="B26" s="41" t="s">
        <v>64</v>
      </c>
      <c r="C26" s="66">
        <f>'Income Statement'!C19</f>
        <v>-633</v>
      </c>
      <c r="D26" s="66"/>
    </row>
    <row r="27" spans="2:6" ht="13" thickBot="1" x14ac:dyDescent="0.2">
      <c r="B27" s="46" t="s">
        <v>65</v>
      </c>
      <c r="C27" s="70">
        <f>SUM(C22:C26)</f>
        <v>10285</v>
      </c>
      <c r="D27" s="61"/>
    </row>
    <row r="29" spans="2:6" x14ac:dyDescent="0.15">
      <c r="B29" s="42" t="s">
        <v>66</v>
      </c>
      <c r="C29" s="66"/>
      <c r="D29" s="66"/>
    </row>
    <row r="30" spans="2:6" x14ac:dyDescent="0.15">
      <c r="B30" s="41" t="s">
        <v>109</v>
      </c>
      <c r="C30" s="66">
        <f>-'Income Statement'!C32</f>
        <v>-8623</v>
      </c>
      <c r="D30" s="66"/>
    </row>
    <row r="31" spans="2:6" x14ac:dyDescent="0.15">
      <c r="B31" s="41" t="s">
        <v>110</v>
      </c>
      <c r="C31" s="66">
        <f>-'Income Statement'!C33</f>
        <v>-9052</v>
      </c>
      <c r="D31" s="66"/>
    </row>
    <row r="32" spans="2:6" ht="13" thickBot="1" x14ac:dyDescent="0.2">
      <c r="B32" s="46" t="s">
        <v>67</v>
      </c>
      <c r="C32" s="47">
        <f>SUM(C30:C31)</f>
        <v>-17675</v>
      </c>
      <c r="D32" s="64"/>
    </row>
    <row r="33" spans="2:6" x14ac:dyDescent="0.15">
      <c r="C33" s="66"/>
      <c r="D33" s="66"/>
    </row>
    <row r="34" spans="2:6" x14ac:dyDescent="0.15">
      <c r="B34" s="42" t="s">
        <v>68</v>
      </c>
      <c r="C34" s="66"/>
      <c r="D34" s="66"/>
    </row>
    <row r="35" spans="2:6" x14ac:dyDescent="0.15">
      <c r="B35" s="41" t="s">
        <v>69</v>
      </c>
      <c r="C35" s="66">
        <f>'Balance Sheet'!E22</f>
        <v>0</v>
      </c>
      <c r="D35" s="66"/>
    </row>
    <row r="36" spans="2:6" x14ac:dyDescent="0.15">
      <c r="B36" s="41" t="s">
        <v>70</v>
      </c>
      <c r="C36" s="66">
        <f>'Balance Sheet'!E27</f>
        <v>-1755</v>
      </c>
      <c r="D36" s="66"/>
    </row>
    <row r="37" spans="2:6" x14ac:dyDescent="0.15">
      <c r="B37" s="41" t="s">
        <v>111</v>
      </c>
      <c r="C37" s="45">
        <f>'Balance Sheet'!E32</f>
        <v>-4092</v>
      </c>
    </row>
    <row r="38" spans="2:6" ht="13" thickBot="1" x14ac:dyDescent="0.2">
      <c r="B38" s="46" t="s">
        <v>71</v>
      </c>
      <c r="C38" s="47">
        <f>SUM(C35:C37)</f>
        <v>-5847</v>
      </c>
      <c r="D38" s="64"/>
    </row>
    <row r="40" spans="2:6" ht="13" thickBot="1" x14ac:dyDescent="0.2">
      <c r="B40" s="71" t="s">
        <v>72</v>
      </c>
      <c r="C40" s="72">
        <f>C27+C32+C38</f>
        <v>-13237</v>
      </c>
      <c r="D40" s="61"/>
    </row>
    <row r="41" spans="2:6" ht="13" thickTop="1" x14ac:dyDescent="0.15"/>
    <row r="42" spans="2:6" x14ac:dyDescent="0.15">
      <c r="B42" s="73" t="s">
        <v>73</v>
      </c>
      <c r="C42" s="54">
        <f>'Balance Sheet'!D16</f>
        <v>16813</v>
      </c>
      <c r="D42" s="54"/>
    </row>
    <row r="43" spans="2:6" x14ac:dyDescent="0.15">
      <c r="B43" s="41" t="s">
        <v>74</v>
      </c>
      <c r="C43" s="54">
        <f>'Balance Sheet'!C16</f>
        <v>3576</v>
      </c>
      <c r="D43" s="54"/>
    </row>
    <row r="44" spans="2:6" ht="13" thickBot="1" x14ac:dyDescent="0.2">
      <c r="B44" s="71" t="s">
        <v>75</v>
      </c>
      <c r="C44" s="72">
        <f>C43-C42</f>
        <v>-13237</v>
      </c>
      <c r="D44" s="61"/>
    </row>
    <row r="45" spans="2:6" ht="13" thickTop="1" x14ac:dyDescent="0.15"/>
    <row r="46" spans="2:6" x14ac:dyDescent="0.15">
      <c r="B46" s="44" t="s">
        <v>24</v>
      </c>
      <c r="C46" s="57">
        <f>C40-C44</f>
        <v>0</v>
      </c>
      <c r="D46" s="57"/>
      <c r="E46" s="44" t="s">
        <v>112</v>
      </c>
      <c r="F46" s="44"/>
    </row>
    <row r="47" spans="2:6" x14ac:dyDescent="0.15">
      <c r="C47" s="54"/>
    </row>
    <row r="48" spans="2:6" x14ac:dyDescent="0.15">
      <c r="B48" s="45"/>
      <c r="C48" s="45">
        <f>C49-C50</f>
        <v>0</v>
      </c>
    </row>
    <row r="49" spans="2:6" x14ac:dyDescent="0.15">
      <c r="B49" s="67" t="s">
        <v>113</v>
      </c>
      <c r="C49" s="67">
        <f>C11+C14+C10*(1-0.2)+SUM(C17:C19)+SUM(C30:C31)</f>
        <v>3913</v>
      </c>
      <c r="E49" s="80" t="str">
        <f ca="1">_xlfn.FORMULATEXT(C49)</f>
        <v>=C11+C14+C10*(1-0.2)+SUM(C17:C19)+SUM(C30:C31)</v>
      </c>
    </row>
    <row r="50" spans="2:6" x14ac:dyDescent="0.15">
      <c r="B50" s="67" t="s">
        <v>77</v>
      </c>
      <c r="C50" s="67">
        <f>C22+SUM(C30:C31)+C10*(1-0.2)</f>
        <v>3913</v>
      </c>
      <c r="E50" s="81" t="str">
        <f ca="1">_xlfn.FORMULATEXT(C50)</f>
        <v>=C22+SUM(C30:C31)+C10*(1-0.2)</v>
      </c>
    </row>
    <row r="51" spans="2:6" x14ac:dyDescent="0.15">
      <c r="B51" s="45"/>
      <c r="C51" s="45"/>
    </row>
    <row r="52" spans="2:6" x14ac:dyDescent="0.15">
      <c r="B52" s="67" t="s">
        <v>78</v>
      </c>
      <c r="C52" s="67">
        <f>C22+C32+C38</f>
        <v>-2330</v>
      </c>
      <c r="E52" s="80" t="str">
        <f ca="1">_xlfn.FORMULATEXT(C52)</f>
        <v>=C22+C32+C38</v>
      </c>
    </row>
    <row r="53" spans="2:6" x14ac:dyDescent="0.15">
      <c r="B53" s="67" t="s">
        <v>78</v>
      </c>
      <c r="C53" s="67">
        <f>C50+C25*(1-0.2)+C38</f>
        <v>-2330</v>
      </c>
      <c r="E53" s="81" t="str">
        <f ca="1">_xlfn.FORMULATEXT(C53)</f>
        <v>=C50+C25*(1-0.2)+C38</v>
      </c>
    </row>
    <row r="54" spans="2:6" x14ac:dyDescent="0.15">
      <c r="B54" s="45"/>
      <c r="C54" s="45">
        <f>C52-C53</f>
        <v>0</v>
      </c>
    </row>
    <row r="56" spans="2:6" x14ac:dyDescent="0.15">
      <c r="B56" s="76" t="s">
        <v>114</v>
      </c>
      <c r="C56" s="74"/>
      <c r="D56" s="74"/>
      <c r="E56" s="74"/>
      <c r="F56" s="78"/>
    </row>
    <row r="57" spans="2:6" x14ac:dyDescent="0.15">
      <c r="B57" s="77" t="s">
        <v>117</v>
      </c>
      <c r="C57" s="75"/>
      <c r="D57" s="75"/>
      <c r="E57" s="75"/>
      <c r="F57" s="79"/>
    </row>
    <row r="59" spans="2:6" x14ac:dyDescent="0.15">
      <c r="B59" s="76" t="s">
        <v>115</v>
      </c>
      <c r="C59" s="74"/>
      <c r="D59" s="74"/>
      <c r="E59" s="78"/>
    </row>
    <row r="60" spans="2:6" x14ac:dyDescent="0.15">
      <c r="B60" s="77" t="s">
        <v>116</v>
      </c>
      <c r="C60" s="75"/>
      <c r="D60" s="75"/>
      <c r="E60" s="79"/>
    </row>
  </sheetData>
  <mergeCells count="1">
    <mergeCell ref="E17:E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E84A263CF1945AD4232D5B4111E63" ma:contentTypeVersion="13" ma:contentTypeDescription="Create a new document." ma:contentTypeScope="" ma:versionID="82926c85b40558f05a495d75f0ef2ab5">
  <xsd:schema xmlns:xsd="http://www.w3.org/2001/XMLSchema" xmlns:xs="http://www.w3.org/2001/XMLSchema" xmlns:p="http://schemas.microsoft.com/office/2006/metadata/properties" xmlns:ns3="a33b3d48-4748-415e-9501-e406a79056a5" xmlns:ns4="b90b3ce1-30c3-4251-9b85-7842ce11cfd6" targetNamespace="http://schemas.microsoft.com/office/2006/metadata/properties" ma:root="true" ma:fieldsID="325293254555ca9b253aecf98e7d6abd" ns3:_="" ns4:_="">
    <xsd:import namespace="a33b3d48-4748-415e-9501-e406a79056a5"/>
    <xsd:import namespace="b90b3ce1-30c3-4251-9b85-7842ce11cf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b3d48-4748-415e-9501-e406a7905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b3ce1-30c3-4251-9b85-7842ce11cf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813C4-B67D-4800-A177-EEBFAD7DF8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DBC92B-9045-4ED1-A176-96595D8365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DD16F4-B7E1-47E6-B3C3-95275B43C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b3d48-4748-415e-9501-e406a79056a5"/>
    <ds:schemaRef ds:uri="b90b3ce1-30c3-4251-9b85-7842ce11c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Statement of Changes in Equity</vt:lpstr>
      <vt:lpstr>Workings</vt:lpstr>
      <vt:lpstr>CFS-Indirect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Vishal Srinivasan</cp:lastModifiedBy>
  <dcterms:created xsi:type="dcterms:W3CDTF">2020-03-27T19:30:38Z</dcterms:created>
  <dcterms:modified xsi:type="dcterms:W3CDTF">2026-03-25T11:49:20Z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0x010100382E84A263CF1945AD4232D5B4111E63</vt:lpwstr>
  </property>
</Properties>
</file>