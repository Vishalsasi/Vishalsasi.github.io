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azrael/Downloads/"/>
    </mc:Choice>
  </mc:AlternateContent>
  <xr:revisionPtr revIDLastSave="0" documentId="13_ncr:1_{1475ED46-218C-7E46-B8C0-401BCD301B07}" xr6:coauthVersionLast="47" xr6:coauthVersionMax="47" xr10:uidLastSave="{00000000-0000-0000-0000-000000000000}"/>
  <bookViews>
    <workbookView xWindow="0" yWindow="0" windowWidth="51200" windowHeight="28800" activeTab="3" xr2:uid="{DE4BB78B-B23C-4CE8-9A6A-2F33012050E0}"/>
  </bookViews>
  <sheets>
    <sheet name="Source" sheetId="1" r:id="rId1"/>
    <sheet name="Structured Source" sheetId="2" r:id="rId2"/>
    <sheet name="Pivot" sheetId="3" r:id="rId3"/>
    <sheet name="Report" sheetId="4" r:id="rId4"/>
  </sheets>
  <definedNames>
    <definedName name="_xlnm._FilterDatabase" localSheetId="0" hidden="1">Source!$A$3:$K$820</definedName>
    <definedName name="_xlnm._FilterDatabase" localSheetId="1" hidden="1">'Structured Source'!$B$1:$O$746</definedName>
    <definedName name="Slicer_Brand">#N/A</definedName>
    <definedName name="Slicer_Package">#N/A</definedName>
    <definedName name="Slicer_Product_Attributes">#N/A</definedName>
    <definedName name="Slicer_Siz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4" l="1"/>
  <c r="J13" i="4"/>
  <c r="J18" i="4"/>
  <c r="J23" i="4"/>
  <c r="J28" i="4"/>
  <c r="J33" i="4"/>
  <c r="J38" i="4"/>
  <c r="J43" i="4"/>
  <c r="J48" i="4"/>
  <c r="J53" i="4"/>
  <c r="J58" i="4"/>
  <c r="J63" i="4"/>
  <c r="J68" i="4"/>
  <c r="J73" i="4"/>
  <c r="J78" i="4"/>
  <c r="J83" i="4"/>
  <c r="J88" i="4"/>
  <c r="J93" i="4"/>
  <c r="J98" i="4"/>
  <c r="J31" i="4"/>
  <c r="J71" i="4"/>
  <c r="J81" i="4"/>
  <c r="J86" i="4"/>
  <c r="J91" i="4"/>
  <c r="I49" i="4"/>
  <c r="I59" i="4"/>
  <c r="I84" i="4"/>
  <c r="I94" i="4"/>
  <c r="I77" i="4"/>
  <c r="J37" i="4"/>
  <c r="J52" i="4"/>
  <c r="I65" i="4"/>
  <c r="J40" i="4"/>
  <c r="J90" i="4"/>
  <c r="J95" i="4"/>
  <c r="I8" i="4"/>
  <c r="I43" i="4"/>
  <c r="I78" i="4"/>
  <c r="I6" i="4"/>
  <c r="I11" i="4"/>
  <c r="I16" i="4"/>
  <c r="I21" i="4"/>
  <c r="I26" i="4"/>
  <c r="I31" i="4"/>
  <c r="I36" i="4"/>
  <c r="I41" i="4"/>
  <c r="I46" i="4"/>
  <c r="I51" i="4"/>
  <c r="I56" i="4"/>
  <c r="I61" i="4"/>
  <c r="I66" i="4"/>
  <c r="I71" i="4"/>
  <c r="I76" i="4"/>
  <c r="I81" i="4"/>
  <c r="I86" i="4"/>
  <c r="I91" i="4"/>
  <c r="I96" i="4"/>
  <c r="I101" i="4"/>
  <c r="J11" i="4"/>
  <c r="J16" i="4"/>
  <c r="J21" i="4"/>
  <c r="J26" i="4"/>
  <c r="J36" i="4"/>
  <c r="J41" i="4"/>
  <c r="J46" i="4"/>
  <c r="J51" i="4"/>
  <c r="J56" i="4"/>
  <c r="J61" i="4"/>
  <c r="J76" i="4"/>
  <c r="J96" i="4"/>
  <c r="J101" i="4"/>
  <c r="I64" i="4"/>
  <c r="I69" i="4"/>
  <c r="I79" i="4"/>
  <c r="I89" i="4"/>
  <c r="I99" i="4"/>
  <c r="J32" i="4"/>
  <c r="I70" i="4"/>
  <c r="I90" i="4"/>
  <c r="J20" i="4"/>
  <c r="J55" i="4"/>
  <c r="J75" i="4"/>
  <c r="I13" i="4"/>
  <c r="I33" i="4"/>
  <c r="I58" i="4"/>
  <c r="I88" i="4"/>
  <c r="I98" i="4"/>
  <c r="J6" i="4"/>
  <c r="J66" i="4"/>
  <c r="I87" i="4"/>
  <c r="I97" i="4"/>
  <c r="J72" i="4"/>
  <c r="J102" i="4"/>
  <c r="I15" i="4"/>
  <c r="I20" i="4"/>
  <c r="I30" i="4"/>
  <c r="I40" i="4"/>
  <c r="I75" i="4"/>
  <c r="J10" i="4"/>
  <c r="J25" i="4"/>
  <c r="J35" i="4"/>
  <c r="J45" i="4"/>
  <c r="J60" i="4"/>
  <c r="I38" i="4"/>
  <c r="I53" i="4"/>
  <c r="I63" i="4"/>
  <c r="I9" i="4"/>
  <c r="I14" i="4"/>
  <c r="I19" i="4"/>
  <c r="I24" i="4"/>
  <c r="I29" i="4"/>
  <c r="I34" i="4"/>
  <c r="I39" i="4"/>
  <c r="I44" i="4"/>
  <c r="I54" i="4"/>
  <c r="I74" i="4"/>
  <c r="J22" i="4"/>
  <c r="J42" i="4"/>
  <c r="J62" i="4"/>
  <c r="J97" i="4"/>
  <c r="I50" i="4"/>
  <c r="I100" i="4"/>
  <c r="J50" i="4"/>
  <c r="J70" i="4"/>
  <c r="J85" i="4"/>
  <c r="J100" i="4"/>
  <c r="I18" i="4"/>
  <c r="I73" i="4"/>
  <c r="J9" i="4"/>
  <c r="J14" i="4"/>
  <c r="J19" i="4"/>
  <c r="J24" i="4"/>
  <c r="J29" i="4"/>
  <c r="J34" i="4"/>
  <c r="J39" i="4"/>
  <c r="J44" i="4"/>
  <c r="J49" i="4"/>
  <c r="J54" i="4"/>
  <c r="J59" i="4"/>
  <c r="J64" i="4"/>
  <c r="J69" i="4"/>
  <c r="J74" i="4"/>
  <c r="J79" i="4"/>
  <c r="J84" i="4"/>
  <c r="J89" i="4"/>
  <c r="J94" i="4"/>
  <c r="J99" i="4"/>
  <c r="I7" i="4"/>
  <c r="I12" i="4"/>
  <c r="I17" i="4"/>
  <c r="I22" i="4"/>
  <c r="I27" i="4"/>
  <c r="I37" i="4"/>
  <c r="I42" i="4"/>
  <c r="I47" i="4"/>
  <c r="I52" i="4"/>
  <c r="I62" i="4"/>
  <c r="I67" i="4"/>
  <c r="I72" i="4"/>
  <c r="I92" i="4"/>
  <c r="I102" i="4"/>
  <c r="J27" i="4"/>
  <c r="J67" i="4"/>
  <c r="I55" i="4"/>
  <c r="J15" i="4"/>
  <c r="J80" i="4"/>
  <c r="I23" i="4"/>
  <c r="I28" i="4"/>
  <c r="I48" i="4"/>
  <c r="I68" i="4"/>
  <c r="I32" i="4"/>
  <c r="I57" i="4"/>
  <c r="I82" i="4"/>
  <c r="J82" i="4"/>
  <c r="J92" i="4"/>
  <c r="I10" i="4"/>
  <c r="I35" i="4"/>
  <c r="I45" i="4"/>
  <c r="I85" i="4"/>
  <c r="J30" i="4"/>
  <c r="J65" i="4"/>
  <c r="I83" i="4"/>
  <c r="I93" i="4"/>
  <c r="J7" i="4"/>
  <c r="J12" i="4"/>
  <c r="J17" i="4"/>
  <c r="J47" i="4"/>
  <c r="J57" i="4"/>
  <c r="J77" i="4"/>
  <c r="J87" i="4"/>
  <c r="I25" i="4"/>
  <c r="I60" i="4"/>
  <c r="I80" i="4"/>
  <c r="I95" i="4"/>
  <c r="J5" i="4"/>
  <c r="I5" i="4"/>
  <c r="F6" i="4"/>
  <c r="F11" i="4"/>
  <c r="F16" i="4"/>
  <c r="F21" i="4"/>
  <c r="F26" i="4"/>
  <c r="F31" i="4"/>
  <c r="F36" i="4"/>
  <c r="F41" i="4"/>
  <c r="F46" i="4"/>
  <c r="F51" i="4"/>
  <c r="F56" i="4"/>
  <c r="F61" i="4"/>
  <c r="F66" i="4"/>
  <c r="F71" i="4"/>
  <c r="F76" i="4"/>
  <c r="F81" i="4"/>
  <c r="F86" i="4"/>
  <c r="F91" i="4"/>
  <c r="F96" i="4"/>
  <c r="F101" i="4"/>
  <c r="G6" i="4"/>
  <c r="G11" i="4"/>
  <c r="G16" i="4"/>
  <c r="G21" i="4"/>
  <c r="G26" i="4"/>
  <c r="G31" i="4"/>
  <c r="G36" i="4"/>
  <c r="G41" i="4"/>
  <c r="G46" i="4"/>
  <c r="G51" i="4"/>
  <c r="G56" i="4"/>
  <c r="G61" i="4"/>
  <c r="G66" i="4"/>
  <c r="G71" i="4"/>
  <c r="G76" i="4"/>
  <c r="G81" i="4"/>
  <c r="G86" i="4"/>
  <c r="G91" i="4"/>
  <c r="G96" i="4"/>
  <c r="G101" i="4"/>
  <c r="F7" i="4"/>
  <c r="F12" i="4"/>
  <c r="F17" i="4"/>
  <c r="F22" i="4"/>
  <c r="F27" i="4"/>
  <c r="F37" i="4"/>
  <c r="F42" i="4"/>
  <c r="F47" i="4"/>
  <c r="F52" i="4"/>
  <c r="F57" i="4"/>
  <c r="F62" i="4"/>
  <c r="F67" i="4"/>
  <c r="F72" i="4"/>
  <c r="F77" i="4"/>
  <c r="F82" i="4"/>
  <c r="F87" i="4"/>
  <c r="F92" i="4"/>
  <c r="F102" i="4"/>
  <c r="G83" i="4"/>
  <c r="G88" i="4"/>
  <c r="G93" i="4"/>
  <c r="G98" i="4"/>
  <c r="F9" i="4"/>
  <c r="F19" i="4"/>
  <c r="F24" i="4"/>
  <c r="F29" i="4"/>
  <c r="F34" i="4"/>
  <c r="F39" i="4"/>
  <c r="F44" i="4"/>
  <c r="F49" i="4"/>
  <c r="F54" i="4"/>
  <c r="F59" i="4"/>
  <c r="F64" i="4"/>
  <c r="F69" i="4"/>
  <c r="F74" i="4"/>
  <c r="F79" i="4"/>
  <c r="F84" i="4"/>
  <c r="F89" i="4"/>
  <c r="F94" i="4"/>
  <c r="F99" i="4"/>
  <c r="G9" i="4"/>
  <c r="G14" i="4"/>
  <c r="G19" i="4"/>
  <c r="G24" i="4"/>
  <c r="G29" i="4"/>
  <c r="G34" i="4"/>
  <c r="G39" i="4"/>
  <c r="G44" i="4"/>
  <c r="G49" i="4"/>
  <c r="G54" i="4"/>
  <c r="G59" i="4"/>
  <c r="G64" i="4"/>
  <c r="G69" i="4"/>
  <c r="G74" i="4"/>
  <c r="G79" i="4"/>
  <c r="G84" i="4"/>
  <c r="G89" i="4"/>
  <c r="G94" i="4"/>
  <c r="F10" i="4"/>
  <c r="F35" i="4"/>
  <c r="F40" i="4"/>
  <c r="F45" i="4"/>
  <c r="F55" i="4"/>
  <c r="F65" i="4"/>
  <c r="F85" i="4"/>
  <c r="F100" i="4"/>
  <c r="G10" i="4"/>
  <c r="G45" i="4"/>
  <c r="G55" i="4"/>
  <c r="G80" i="4"/>
  <c r="F32" i="4"/>
  <c r="F30" i="4"/>
  <c r="F80" i="4"/>
  <c r="G30" i="4"/>
  <c r="G75" i="4"/>
  <c r="G90" i="4"/>
  <c r="F97" i="4"/>
  <c r="F20" i="4"/>
  <c r="F60" i="4"/>
  <c r="F95" i="4"/>
  <c r="G15" i="4"/>
  <c r="G35" i="4"/>
  <c r="G65" i="4"/>
  <c r="G95" i="4"/>
  <c r="G7" i="4"/>
  <c r="G12" i="4"/>
  <c r="G17" i="4"/>
  <c r="G22" i="4"/>
  <c r="G27" i="4"/>
  <c r="G32" i="4"/>
  <c r="G37" i="4"/>
  <c r="G42" i="4"/>
  <c r="G47" i="4"/>
  <c r="G52" i="4"/>
  <c r="G57" i="4"/>
  <c r="G62" i="4"/>
  <c r="G67" i="4"/>
  <c r="G72" i="4"/>
  <c r="G77" i="4"/>
  <c r="G82" i="4"/>
  <c r="G87" i="4"/>
  <c r="G92" i="4"/>
  <c r="G97" i="4"/>
  <c r="G102" i="4"/>
  <c r="F8" i="4"/>
  <c r="F13" i="4"/>
  <c r="F18" i="4"/>
  <c r="F23" i="4"/>
  <c r="F28" i="4"/>
  <c r="F33" i="4"/>
  <c r="F38" i="4"/>
  <c r="F43" i="4"/>
  <c r="F48" i="4"/>
  <c r="F53" i="4"/>
  <c r="F58" i="4"/>
  <c r="F63" i="4"/>
  <c r="F68" i="4"/>
  <c r="F73" i="4"/>
  <c r="F78" i="4"/>
  <c r="F83" i="4"/>
  <c r="F88" i="4"/>
  <c r="F93" i="4"/>
  <c r="F98" i="4"/>
  <c r="G8" i="4"/>
  <c r="G13" i="4"/>
  <c r="G18" i="4"/>
  <c r="G23" i="4"/>
  <c r="G28" i="4"/>
  <c r="G33" i="4"/>
  <c r="G38" i="4"/>
  <c r="G43" i="4"/>
  <c r="G48" i="4"/>
  <c r="G53" i="4"/>
  <c r="G58" i="4"/>
  <c r="G63" i="4"/>
  <c r="G68" i="4"/>
  <c r="G73" i="4"/>
  <c r="G78" i="4"/>
  <c r="G99" i="4"/>
  <c r="F15" i="4"/>
  <c r="F50" i="4"/>
  <c r="F70" i="4"/>
  <c r="F90" i="4"/>
  <c r="G25" i="4"/>
  <c r="G50" i="4"/>
  <c r="G60" i="4"/>
  <c r="G85" i="4"/>
  <c r="F14" i="4"/>
  <c r="F25" i="4"/>
  <c r="F75" i="4"/>
  <c r="G20" i="4"/>
  <c r="G40" i="4"/>
  <c r="G70" i="4"/>
  <c r="G100" i="4"/>
  <c r="G5" i="4"/>
  <c r="F5" i="4"/>
  <c r="F103" i="4" l="1"/>
  <c r="H5" i="4"/>
  <c r="G103" i="4"/>
  <c r="H75" i="4"/>
  <c r="H25" i="4"/>
  <c r="H14" i="4"/>
  <c r="H90" i="4"/>
  <c r="H70" i="4"/>
  <c r="H50" i="4"/>
  <c r="H15" i="4"/>
  <c r="H98" i="4"/>
  <c r="H93" i="4"/>
  <c r="H88" i="4"/>
  <c r="H83" i="4"/>
  <c r="H78" i="4"/>
  <c r="H73" i="4"/>
  <c r="H68" i="4"/>
  <c r="H63" i="4"/>
  <c r="H58" i="4"/>
  <c r="H53" i="4"/>
  <c r="H48" i="4"/>
  <c r="H43" i="4"/>
  <c r="H38" i="4"/>
  <c r="H33" i="4"/>
  <c r="H28" i="4"/>
  <c r="H23" i="4"/>
  <c r="H18" i="4"/>
  <c r="H13" i="4"/>
  <c r="H8" i="4"/>
  <c r="H95" i="4"/>
  <c r="H60" i="4"/>
  <c r="H20" i="4"/>
  <c r="H97" i="4"/>
  <c r="H80" i="4"/>
  <c r="H30" i="4"/>
  <c r="H32" i="4"/>
  <c r="H100" i="4"/>
  <c r="H85" i="4"/>
  <c r="H65" i="4"/>
  <c r="H55" i="4"/>
  <c r="H45" i="4"/>
  <c r="H40" i="4"/>
  <c r="H35" i="4"/>
  <c r="H10" i="4"/>
  <c r="H99" i="4"/>
  <c r="H94" i="4"/>
  <c r="H89" i="4"/>
  <c r="H84" i="4"/>
  <c r="H79" i="4"/>
  <c r="H74" i="4"/>
  <c r="H69" i="4"/>
  <c r="H64" i="4"/>
  <c r="H59" i="4"/>
  <c r="H54" i="4"/>
  <c r="H49" i="4"/>
  <c r="H44" i="4"/>
  <c r="H39" i="4"/>
  <c r="H34" i="4"/>
  <c r="H29" i="4"/>
  <c r="H24" i="4"/>
  <c r="H19" i="4"/>
  <c r="H9" i="4"/>
  <c r="H102" i="4"/>
  <c r="H92" i="4"/>
  <c r="H87" i="4"/>
  <c r="H82" i="4"/>
  <c r="H77" i="4"/>
  <c r="H72" i="4"/>
  <c r="H67" i="4"/>
  <c r="H62" i="4"/>
  <c r="H57" i="4"/>
  <c r="H52" i="4"/>
  <c r="H47" i="4"/>
  <c r="H42" i="4"/>
  <c r="H37" i="4"/>
  <c r="H27" i="4"/>
  <c r="H22" i="4"/>
  <c r="H17" i="4"/>
  <c r="H12" i="4"/>
  <c r="H7" i="4"/>
  <c r="H101" i="4"/>
  <c r="H96" i="4"/>
  <c r="H91" i="4"/>
  <c r="H86" i="4"/>
  <c r="H81" i="4"/>
  <c r="H76" i="4"/>
  <c r="H71" i="4"/>
  <c r="H66" i="4"/>
  <c r="H61" i="4"/>
  <c r="H56" i="4"/>
  <c r="H51" i="4"/>
  <c r="H46" i="4"/>
  <c r="H41" i="4"/>
  <c r="H36" i="4"/>
  <c r="H31" i="4"/>
  <c r="H26" i="4"/>
  <c r="H21" i="4"/>
  <c r="H16" i="4"/>
  <c r="H11" i="4"/>
  <c r="H6" i="4"/>
  <c r="K5" i="4"/>
  <c r="I103" i="4"/>
  <c r="J103" i="4"/>
  <c r="K95" i="4"/>
  <c r="K80" i="4"/>
  <c r="K60" i="4"/>
  <c r="K25" i="4"/>
  <c r="K93" i="4"/>
  <c r="K83" i="4"/>
  <c r="K85" i="4"/>
  <c r="K45" i="4"/>
  <c r="K35" i="4"/>
  <c r="K10" i="4"/>
  <c r="K82" i="4"/>
  <c r="K57" i="4"/>
  <c r="K32" i="4"/>
  <c r="K68" i="4"/>
  <c r="K48" i="4"/>
  <c r="K28" i="4"/>
  <c r="K23" i="4"/>
  <c r="K55" i="4"/>
  <c r="K102" i="4"/>
  <c r="K92" i="4"/>
  <c r="K72" i="4"/>
  <c r="K67" i="4"/>
  <c r="K62" i="4"/>
  <c r="K52" i="4"/>
  <c r="K47" i="4"/>
  <c r="K42" i="4"/>
  <c r="K37" i="4"/>
  <c r="K27" i="4"/>
  <c r="K22" i="4"/>
  <c r="K17" i="4"/>
  <c r="K12" i="4"/>
  <c r="K7" i="4"/>
  <c r="K73" i="4"/>
  <c r="K18" i="4"/>
  <c r="K100" i="4"/>
  <c r="K50" i="4"/>
  <c r="K74" i="4"/>
  <c r="K54" i="4"/>
  <c r="K44" i="4"/>
  <c r="K39" i="4"/>
  <c r="K34" i="4"/>
  <c r="K29" i="4"/>
  <c r="K24" i="4"/>
  <c r="K19" i="4"/>
  <c r="K14" i="4"/>
  <c r="K9" i="4"/>
  <c r="K63" i="4"/>
  <c r="K53" i="4"/>
  <c r="K38" i="4"/>
  <c r="K75" i="4"/>
  <c r="K40" i="4"/>
  <c r="K30" i="4"/>
  <c r="K20" i="4"/>
  <c r="K15" i="4"/>
  <c r="K97" i="4"/>
  <c r="K87" i="4"/>
  <c r="K98" i="4"/>
  <c r="K88" i="4"/>
  <c r="K58" i="4"/>
  <c r="K33" i="4"/>
  <c r="K13" i="4"/>
  <c r="K90" i="4"/>
  <c r="K70" i="4"/>
  <c r="K99" i="4"/>
  <c r="K89" i="4"/>
  <c r="K79" i="4"/>
  <c r="K69" i="4"/>
  <c r="K64" i="4"/>
  <c r="K101" i="4"/>
  <c r="K96" i="4"/>
  <c r="K91" i="4"/>
  <c r="K86" i="4"/>
  <c r="K81" i="4"/>
  <c r="K76" i="4"/>
  <c r="K71" i="4"/>
  <c r="K66" i="4"/>
  <c r="K61" i="4"/>
  <c r="K56" i="4"/>
  <c r="K51" i="4"/>
  <c r="K46" i="4"/>
  <c r="K41" i="4"/>
  <c r="K36" i="4"/>
  <c r="K31" i="4"/>
  <c r="K26" i="4"/>
  <c r="K21" i="4"/>
  <c r="K16" i="4"/>
  <c r="K11" i="4"/>
  <c r="K6" i="4"/>
  <c r="K78" i="4"/>
  <c r="K43" i="4"/>
  <c r="K8" i="4"/>
  <c r="K65" i="4"/>
  <c r="K77" i="4"/>
  <c r="K94" i="4"/>
  <c r="K84" i="4"/>
  <c r="K59" i="4"/>
  <c r="K49" i="4"/>
  <c r="D6" i="4"/>
  <c r="D16" i="4"/>
  <c r="D26" i="4"/>
  <c r="D36" i="4"/>
  <c r="D46" i="4"/>
  <c r="D56" i="4"/>
  <c r="D66" i="4"/>
  <c r="D76" i="4"/>
  <c r="D86" i="4"/>
  <c r="D96" i="4"/>
  <c r="D28" i="4"/>
  <c r="D48" i="4"/>
  <c r="D68" i="4"/>
  <c r="D88" i="4"/>
  <c r="D9" i="4"/>
  <c r="D29" i="4"/>
  <c r="D49" i="4"/>
  <c r="D69" i="4"/>
  <c r="D89" i="4"/>
  <c r="D99" i="4"/>
  <c r="D20" i="4"/>
  <c r="D40" i="4"/>
  <c r="D60" i="4"/>
  <c r="D80" i="4"/>
  <c r="D100" i="4"/>
  <c r="D21" i="4"/>
  <c r="D41" i="4"/>
  <c r="D61" i="4"/>
  <c r="D71" i="4"/>
  <c r="D91" i="4"/>
  <c r="D73" i="4"/>
  <c r="D14" i="4"/>
  <c r="D54" i="4"/>
  <c r="D15" i="4"/>
  <c r="D45" i="4"/>
  <c r="D75" i="4"/>
  <c r="D7" i="4"/>
  <c r="D17" i="4"/>
  <c r="D27" i="4"/>
  <c r="D37" i="4"/>
  <c r="D47" i="4"/>
  <c r="D57" i="4"/>
  <c r="D67" i="4"/>
  <c r="D77" i="4"/>
  <c r="D87" i="4"/>
  <c r="D97" i="4"/>
  <c r="D18" i="4"/>
  <c r="D38" i="4"/>
  <c r="D58" i="4"/>
  <c r="D78" i="4"/>
  <c r="D98" i="4"/>
  <c r="D19" i="4"/>
  <c r="D39" i="4"/>
  <c r="D59" i="4"/>
  <c r="D79" i="4"/>
  <c r="D10" i="4"/>
  <c r="D30" i="4"/>
  <c r="D50" i="4"/>
  <c r="D70" i="4"/>
  <c r="D90" i="4"/>
  <c r="D11" i="4"/>
  <c r="D31" i="4"/>
  <c r="D51" i="4"/>
  <c r="D81" i="4"/>
  <c r="D101" i="4"/>
  <c r="D83" i="4"/>
  <c r="D24" i="4"/>
  <c r="D64" i="4"/>
  <c r="D84" i="4"/>
  <c r="D25" i="4"/>
  <c r="D55" i="4"/>
  <c r="D95" i="4"/>
  <c r="D8" i="4"/>
  <c r="D44" i="4"/>
  <c r="D12" i="4"/>
  <c r="D22" i="4"/>
  <c r="D32" i="4"/>
  <c r="D42" i="4"/>
  <c r="D52" i="4"/>
  <c r="D62" i="4"/>
  <c r="D72" i="4"/>
  <c r="D82" i="4"/>
  <c r="D92" i="4"/>
  <c r="D102" i="4"/>
  <c r="D13" i="4"/>
  <c r="D23" i="4"/>
  <c r="D33" i="4"/>
  <c r="D43" i="4"/>
  <c r="D53" i="4"/>
  <c r="D63" i="4"/>
  <c r="D93" i="4"/>
  <c r="D34" i="4"/>
  <c r="D74" i="4"/>
  <c r="D94" i="4"/>
  <c r="D35" i="4"/>
  <c r="D65" i="4"/>
  <c r="D85" i="4"/>
  <c r="D5" i="4"/>
  <c r="C6" i="4"/>
  <c r="C16" i="4"/>
  <c r="C26" i="4"/>
  <c r="C36" i="4"/>
  <c r="C46" i="4"/>
  <c r="C56" i="4"/>
  <c r="C66" i="4"/>
  <c r="C76" i="4"/>
  <c r="C86" i="4"/>
  <c r="C96" i="4"/>
  <c r="C28" i="4"/>
  <c r="C38" i="4"/>
  <c r="C58" i="4"/>
  <c r="C78" i="4"/>
  <c r="C98" i="4"/>
  <c r="C29" i="4"/>
  <c r="C49" i="4"/>
  <c r="C59" i="4"/>
  <c r="C79" i="4"/>
  <c r="C99" i="4"/>
  <c r="C20" i="4"/>
  <c r="C40" i="4"/>
  <c r="C60" i="4"/>
  <c r="C80" i="4"/>
  <c r="C100" i="4"/>
  <c r="C31" i="4"/>
  <c r="C61" i="4"/>
  <c r="C81" i="4"/>
  <c r="C12" i="4"/>
  <c r="C52" i="4"/>
  <c r="C82" i="4"/>
  <c r="C13" i="4"/>
  <c r="C43" i="4"/>
  <c r="C83" i="4"/>
  <c r="C34" i="4"/>
  <c r="C64" i="4"/>
  <c r="C94" i="4"/>
  <c r="C25" i="4"/>
  <c r="C55" i="4"/>
  <c r="C85" i="4"/>
  <c r="C7" i="4"/>
  <c r="C17" i="4"/>
  <c r="C27" i="4"/>
  <c r="C37" i="4"/>
  <c r="C47" i="4"/>
  <c r="C57" i="4"/>
  <c r="C67" i="4"/>
  <c r="C77" i="4"/>
  <c r="C87" i="4"/>
  <c r="C97" i="4"/>
  <c r="C18" i="4"/>
  <c r="C48" i="4"/>
  <c r="C68" i="4"/>
  <c r="C88" i="4"/>
  <c r="C19" i="4"/>
  <c r="C39" i="4"/>
  <c r="C69" i="4"/>
  <c r="C89" i="4"/>
  <c r="C10" i="4"/>
  <c r="C30" i="4"/>
  <c r="C50" i="4"/>
  <c r="C70" i="4"/>
  <c r="C90" i="4"/>
  <c r="C21" i="4"/>
  <c r="C51" i="4"/>
  <c r="C91" i="4"/>
  <c r="C22" i="4"/>
  <c r="C42" i="4"/>
  <c r="C72" i="4"/>
  <c r="C102" i="4"/>
  <c r="C33" i="4"/>
  <c r="C53" i="4"/>
  <c r="C73" i="4"/>
  <c r="C14" i="4"/>
  <c r="C44" i="4"/>
  <c r="C74" i="4"/>
  <c r="C15" i="4"/>
  <c r="C45" i="4"/>
  <c r="C75" i="4"/>
  <c r="C8" i="4"/>
  <c r="C9" i="4"/>
  <c r="C11" i="4"/>
  <c r="C41" i="4"/>
  <c r="C71" i="4"/>
  <c r="C101" i="4"/>
  <c r="C32" i="4"/>
  <c r="C62" i="4"/>
  <c r="C92" i="4"/>
  <c r="C23" i="4"/>
  <c r="C63" i="4"/>
  <c r="C93" i="4"/>
  <c r="C24" i="4"/>
  <c r="C54" i="4"/>
  <c r="C84" i="4"/>
  <c r="C35" i="4"/>
  <c r="C65" i="4"/>
  <c r="C95" i="4"/>
  <c r="C5" i="4"/>
  <c r="E5" i="4" l="1"/>
  <c r="C103" i="4"/>
  <c r="M5" i="4"/>
  <c r="E95" i="4"/>
  <c r="O95" i="4" s="1"/>
  <c r="M95" i="4"/>
  <c r="E65" i="4"/>
  <c r="O65" i="4" s="1"/>
  <c r="M65" i="4"/>
  <c r="E35" i="4"/>
  <c r="O35" i="4" s="1"/>
  <c r="M35" i="4"/>
  <c r="E84" i="4"/>
  <c r="O84" i="4" s="1"/>
  <c r="M84" i="4"/>
  <c r="E54" i="4"/>
  <c r="M54" i="4"/>
  <c r="E24" i="4"/>
  <c r="O24" i="4" s="1"/>
  <c r="M24" i="4"/>
  <c r="E93" i="4"/>
  <c r="O93" i="4" s="1"/>
  <c r="M93" i="4"/>
  <c r="E63" i="4"/>
  <c r="O63" i="4" s="1"/>
  <c r="M63" i="4"/>
  <c r="E23" i="4"/>
  <c r="O23" i="4" s="1"/>
  <c r="M23" i="4"/>
  <c r="E92" i="4"/>
  <c r="M92" i="4"/>
  <c r="E62" i="4"/>
  <c r="O62" i="4" s="1"/>
  <c r="M62" i="4"/>
  <c r="E32" i="4"/>
  <c r="O32" i="4" s="1"/>
  <c r="M32" i="4"/>
  <c r="E101" i="4"/>
  <c r="O101" i="4" s="1"/>
  <c r="M101" i="4"/>
  <c r="E71" i="4"/>
  <c r="O71" i="4" s="1"/>
  <c r="M71" i="4"/>
  <c r="E41" i="4"/>
  <c r="M41" i="4"/>
  <c r="E11" i="4"/>
  <c r="O11" i="4" s="1"/>
  <c r="M11" i="4"/>
  <c r="E9" i="4"/>
  <c r="O9" i="4" s="1"/>
  <c r="M9" i="4"/>
  <c r="E8" i="4"/>
  <c r="O8" i="4" s="1"/>
  <c r="M8" i="4"/>
  <c r="E75" i="4"/>
  <c r="O75" i="4" s="1"/>
  <c r="M75" i="4"/>
  <c r="E45" i="4"/>
  <c r="M45" i="4"/>
  <c r="E15" i="4"/>
  <c r="O15" i="4" s="1"/>
  <c r="M15" i="4"/>
  <c r="E74" i="4"/>
  <c r="O74" i="4" s="1"/>
  <c r="M74" i="4"/>
  <c r="E44" i="4"/>
  <c r="O44" i="4" s="1"/>
  <c r="M44" i="4"/>
  <c r="E14" i="4"/>
  <c r="O14" i="4" s="1"/>
  <c r="M14" i="4"/>
  <c r="E73" i="4"/>
  <c r="M73" i="4"/>
  <c r="E53" i="4"/>
  <c r="O53" i="4" s="1"/>
  <c r="M53" i="4"/>
  <c r="E33" i="4"/>
  <c r="O33" i="4" s="1"/>
  <c r="M33" i="4"/>
  <c r="E102" i="4"/>
  <c r="O102" i="4" s="1"/>
  <c r="M102" i="4"/>
  <c r="E72" i="4"/>
  <c r="O72" i="4" s="1"/>
  <c r="M72" i="4"/>
  <c r="E42" i="4"/>
  <c r="M42" i="4"/>
  <c r="E22" i="4"/>
  <c r="O22" i="4" s="1"/>
  <c r="M22" i="4"/>
  <c r="E91" i="4"/>
  <c r="O91" i="4" s="1"/>
  <c r="M91" i="4"/>
  <c r="E51" i="4"/>
  <c r="O51" i="4" s="1"/>
  <c r="M51" i="4"/>
  <c r="E21" i="4"/>
  <c r="O21" i="4" s="1"/>
  <c r="M21" i="4"/>
  <c r="E90" i="4"/>
  <c r="M90" i="4"/>
  <c r="E70" i="4"/>
  <c r="O70" i="4" s="1"/>
  <c r="M70" i="4"/>
  <c r="E50" i="4"/>
  <c r="O50" i="4" s="1"/>
  <c r="M50" i="4"/>
  <c r="E30" i="4"/>
  <c r="O30" i="4" s="1"/>
  <c r="M30" i="4"/>
  <c r="E10" i="4"/>
  <c r="O10" i="4" s="1"/>
  <c r="M10" i="4"/>
  <c r="E89" i="4"/>
  <c r="M89" i="4"/>
  <c r="E69" i="4"/>
  <c r="O69" i="4" s="1"/>
  <c r="M69" i="4"/>
  <c r="E39" i="4"/>
  <c r="O39" i="4" s="1"/>
  <c r="M39" i="4"/>
  <c r="E19" i="4"/>
  <c r="O19" i="4" s="1"/>
  <c r="M19" i="4"/>
  <c r="E88" i="4"/>
  <c r="O88" i="4" s="1"/>
  <c r="M88" i="4"/>
  <c r="E68" i="4"/>
  <c r="M68" i="4"/>
  <c r="E48" i="4"/>
  <c r="O48" i="4" s="1"/>
  <c r="M48" i="4"/>
  <c r="E18" i="4"/>
  <c r="O18" i="4" s="1"/>
  <c r="M18" i="4"/>
  <c r="E97" i="4"/>
  <c r="O97" i="4" s="1"/>
  <c r="M97" i="4"/>
  <c r="E87" i="4"/>
  <c r="O87" i="4" s="1"/>
  <c r="M87" i="4"/>
  <c r="E77" i="4"/>
  <c r="M77" i="4"/>
  <c r="E67" i="4"/>
  <c r="O67" i="4" s="1"/>
  <c r="M67" i="4"/>
  <c r="E57" i="4"/>
  <c r="O57" i="4" s="1"/>
  <c r="M57" i="4"/>
  <c r="E47" i="4"/>
  <c r="O47" i="4" s="1"/>
  <c r="M47" i="4"/>
  <c r="E37" i="4"/>
  <c r="O37" i="4" s="1"/>
  <c r="M37" i="4"/>
  <c r="E27" i="4"/>
  <c r="M27" i="4"/>
  <c r="E17" i="4"/>
  <c r="O17" i="4" s="1"/>
  <c r="M17" i="4"/>
  <c r="E7" i="4"/>
  <c r="O7" i="4" s="1"/>
  <c r="M7" i="4"/>
  <c r="E85" i="4"/>
  <c r="O85" i="4" s="1"/>
  <c r="M85" i="4"/>
  <c r="E55" i="4"/>
  <c r="O55" i="4" s="1"/>
  <c r="M55" i="4"/>
  <c r="E25" i="4"/>
  <c r="M25" i="4"/>
  <c r="E94" i="4"/>
  <c r="O94" i="4" s="1"/>
  <c r="M94" i="4"/>
  <c r="E64" i="4"/>
  <c r="O64" i="4" s="1"/>
  <c r="M64" i="4"/>
  <c r="E34" i="4"/>
  <c r="O34" i="4" s="1"/>
  <c r="M34" i="4"/>
  <c r="E83" i="4"/>
  <c r="O83" i="4" s="1"/>
  <c r="M83" i="4"/>
  <c r="E43" i="4"/>
  <c r="M43" i="4"/>
  <c r="E13" i="4"/>
  <c r="M13" i="4"/>
  <c r="E82" i="4"/>
  <c r="O82" i="4" s="1"/>
  <c r="M82" i="4"/>
  <c r="E52" i="4"/>
  <c r="O52" i="4" s="1"/>
  <c r="M52" i="4"/>
  <c r="E12" i="4"/>
  <c r="O12" i="4" s="1"/>
  <c r="M12" i="4"/>
  <c r="E81" i="4"/>
  <c r="M81" i="4"/>
  <c r="E61" i="4"/>
  <c r="O61" i="4" s="1"/>
  <c r="M61" i="4"/>
  <c r="E31" i="4"/>
  <c r="O31" i="4" s="1"/>
  <c r="M31" i="4"/>
  <c r="E100" i="4"/>
  <c r="O100" i="4" s="1"/>
  <c r="M100" i="4"/>
  <c r="E80" i="4"/>
  <c r="O80" i="4" s="1"/>
  <c r="M80" i="4"/>
  <c r="E60" i="4"/>
  <c r="O60" i="4" s="1"/>
  <c r="M60" i="4"/>
  <c r="E40" i="4"/>
  <c r="O40" i="4" s="1"/>
  <c r="M40" i="4"/>
  <c r="E20" i="4"/>
  <c r="O20" i="4" s="1"/>
  <c r="M20" i="4"/>
  <c r="E99" i="4"/>
  <c r="O99" i="4" s="1"/>
  <c r="M99" i="4"/>
  <c r="E79" i="4"/>
  <c r="O79" i="4" s="1"/>
  <c r="M79" i="4"/>
  <c r="E59" i="4"/>
  <c r="M59" i="4"/>
  <c r="E49" i="4"/>
  <c r="O49" i="4" s="1"/>
  <c r="M49" i="4"/>
  <c r="E29" i="4"/>
  <c r="O29" i="4" s="1"/>
  <c r="M29" i="4"/>
  <c r="E98" i="4"/>
  <c r="O98" i="4" s="1"/>
  <c r="M98" i="4"/>
  <c r="E78" i="4"/>
  <c r="O78" i="4" s="1"/>
  <c r="M78" i="4"/>
  <c r="E58" i="4"/>
  <c r="M58" i="4"/>
  <c r="E38" i="4"/>
  <c r="O38" i="4" s="1"/>
  <c r="M38" i="4"/>
  <c r="E28" i="4"/>
  <c r="O28" i="4" s="1"/>
  <c r="M28" i="4"/>
  <c r="E96" i="4"/>
  <c r="O96" i="4" s="1"/>
  <c r="M96" i="4"/>
  <c r="E86" i="4"/>
  <c r="O86" i="4" s="1"/>
  <c r="M86" i="4"/>
  <c r="E76" i="4"/>
  <c r="M76" i="4"/>
  <c r="E66" i="4"/>
  <c r="O66" i="4" s="1"/>
  <c r="M66" i="4"/>
  <c r="E56" i="4"/>
  <c r="O56" i="4" s="1"/>
  <c r="M56" i="4"/>
  <c r="E46" i="4"/>
  <c r="O46" i="4" s="1"/>
  <c r="M46" i="4"/>
  <c r="E36" i="4"/>
  <c r="O36" i="4" s="1"/>
  <c r="M36" i="4"/>
  <c r="E26" i="4"/>
  <c r="M26" i="4"/>
  <c r="E16" i="4"/>
  <c r="O16" i="4" s="1"/>
  <c r="M16" i="4"/>
  <c r="E6" i="4"/>
  <c r="O6" i="4" s="1"/>
  <c r="M6" i="4"/>
  <c r="D103" i="4"/>
  <c r="N103" i="4" s="1"/>
  <c r="N5" i="4"/>
  <c r="N85" i="4"/>
  <c r="N65" i="4"/>
  <c r="N35" i="4"/>
  <c r="N94" i="4"/>
  <c r="N74" i="4"/>
  <c r="N34" i="4"/>
  <c r="N93" i="4"/>
  <c r="N63" i="4"/>
  <c r="N53" i="4"/>
  <c r="N43" i="4"/>
  <c r="N33" i="4"/>
  <c r="N23" i="4"/>
  <c r="N13" i="4"/>
  <c r="N102" i="4"/>
  <c r="N92" i="4"/>
  <c r="N82" i="4"/>
  <c r="N72" i="4"/>
  <c r="N62" i="4"/>
  <c r="N52" i="4"/>
  <c r="N42" i="4"/>
  <c r="N32" i="4"/>
  <c r="N22" i="4"/>
  <c r="N12" i="4"/>
  <c r="N44" i="4"/>
  <c r="N8" i="4"/>
  <c r="N95" i="4"/>
  <c r="N55" i="4"/>
  <c r="N25" i="4"/>
  <c r="N84" i="4"/>
  <c r="N64" i="4"/>
  <c r="N24" i="4"/>
  <c r="N83" i="4"/>
  <c r="N101" i="4"/>
  <c r="N81" i="4"/>
  <c r="N51" i="4"/>
  <c r="N31" i="4"/>
  <c r="N11" i="4"/>
  <c r="N90" i="4"/>
  <c r="N70" i="4"/>
  <c r="N50" i="4"/>
  <c r="N30" i="4"/>
  <c r="N10" i="4"/>
  <c r="N79" i="4"/>
  <c r="N59" i="4"/>
  <c r="N39" i="4"/>
  <c r="N19" i="4"/>
  <c r="N98" i="4"/>
  <c r="N78" i="4"/>
  <c r="N58" i="4"/>
  <c r="N38" i="4"/>
  <c r="N18" i="4"/>
  <c r="N97" i="4"/>
  <c r="N87" i="4"/>
  <c r="N77" i="4"/>
  <c r="N67" i="4"/>
  <c r="N57" i="4"/>
  <c r="N47" i="4"/>
  <c r="N37" i="4"/>
  <c r="N27" i="4"/>
  <c r="N17" i="4"/>
  <c r="N7" i="4"/>
  <c r="N75" i="4"/>
  <c r="N45" i="4"/>
  <c r="N15" i="4"/>
  <c r="N54" i="4"/>
  <c r="N14" i="4"/>
  <c r="N73" i="4"/>
  <c r="N91" i="4"/>
  <c r="N71" i="4"/>
  <c r="N61" i="4"/>
  <c r="N41" i="4"/>
  <c r="N21" i="4"/>
  <c r="N100" i="4"/>
  <c r="N80" i="4"/>
  <c r="N60" i="4"/>
  <c r="N40" i="4"/>
  <c r="N20" i="4"/>
  <c r="N99" i="4"/>
  <c r="N89" i="4"/>
  <c r="N69" i="4"/>
  <c r="N49" i="4"/>
  <c r="N29" i="4"/>
  <c r="N9" i="4"/>
  <c r="N88" i="4"/>
  <c r="N68" i="4"/>
  <c r="N48" i="4"/>
  <c r="N28" i="4"/>
  <c r="N96" i="4"/>
  <c r="N86" i="4"/>
  <c r="N76" i="4"/>
  <c r="N66" i="4"/>
  <c r="N56" i="4"/>
  <c r="N46" i="4"/>
  <c r="N36" i="4"/>
  <c r="N26" i="4"/>
  <c r="N16" i="4"/>
  <c r="N6" i="4"/>
  <c r="O26" i="4"/>
  <c r="K103" i="4"/>
  <c r="O76" i="4"/>
  <c r="O92" i="4"/>
  <c r="O42" i="4"/>
  <c r="O77" i="4"/>
  <c r="O54" i="4"/>
  <c r="O90" i="4"/>
  <c r="O68" i="4"/>
  <c r="O27" i="4"/>
  <c r="O59" i="4"/>
  <c r="O13" i="4"/>
  <c r="O43" i="4"/>
  <c r="O81" i="4"/>
  <c r="O73" i="4"/>
  <c r="O25" i="4"/>
  <c r="O89" i="4"/>
  <c r="O45" i="4"/>
  <c r="O5" i="4"/>
  <c r="O41" i="4"/>
  <c r="O58" i="4"/>
  <c r="M103" i="4"/>
  <c r="H103" i="4"/>
  <c r="E103" i="4" l="1"/>
  <c r="O103" i="4" s="1"/>
</calcChain>
</file>

<file path=xl/sharedStrings.xml><?xml version="1.0" encoding="utf-8"?>
<sst xmlns="http://schemas.openxmlformats.org/spreadsheetml/2006/main" count="6534" uniqueCount="1037">
  <si>
    <t>Value (in 1000 $)</t>
  </si>
  <si>
    <t>Volume (in 1000)</t>
  </si>
  <si>
    <t>PACKAGE TYPE</t>
  </si>
  <si>
    <t>PROTECTION / CARE</t>
  </si>
  <si>
    <t>PACKAGE SIZE</t>
  </si>
  <si>
    <t>MANUFACTURER</t>
  </si>
  <si>
    <t>BRAND</t>
  </si>
  <si>
    <t>BABY2000 CAMOMILLA W 20 BAG ABA SRL</t>
  </si>
  <si>
    <t>ITEM</t>
  </si>
  <si>
    <t>BAGS</t>
  </si>
  <si>
    <t>WITHOUT EXTRA PROTECTCARE INDICATION</t>
  </si>
  <si>
    <t>20</t>
  </si>
  <si>
    <t>BAMBO NATURE W 10 BAG</t>
  </si>
  <si>
    <t>10</t>
  </si>
  <si>
    <t>BAMBO NATURE W 50 BAG</t>
  </si>
  <si>
    <t>50</t>
  </si>
  <si>
    <t>BAMBO NATURE 0%PERFUME W 80 BAG</t>
  </si>
  <si>
    <t>80</t>
  </si>
  <si>
    <t>BAMBO NATURE W 80 BAG KAPAK</t>
  </si>
  <si>
    <t>BABY CREMA PLAY TIME CAMOMILE W 100 PINK</t>
  </si>
  <si>
    <t>PH BALANCED</t>
  </si>
  <si>
    <t>100</t>
  </si>
  <si>
    <t>BABYCREMA PLAYTIME CAMOMILE W 100 ORANGE</t>
  </si>
  <si>
    <t>BABY CREMA CAMOMIL W 120 BAG KAPAK</t>
  </si>
  <si>
    <t>120</t>
  </si>
  <si>
    <t>BABY CREMA ALOE 15 BAG</t>
  </si>
  <si>
    <t>15</t>
  </si>
  <si>
    <t>BABY CREMA CAMOMIL W 15 BAG</t>
  </si>
  <si>
    <t>BABY CREMA PH5.5 W 3X15/1FR BAG &amp;&amp;&amp;</t>
  </si>
  <si>
    <t>BABY CREMA WATER 99% W 15 BAG</t>
  </si>
  <si>
    <t>ALCOHOL FREE</t>
  </si>
  <si>
    <t>BABY CREMA CAMOMIL W 40 BAG</t>
  </si>
  <si>
    <t>40</t>
  </si>
  <si>
    <t>BABY CREMA COTTON&amp;PANTENOL W 4X56 BAG</t>
  </si>
  <si>
    <t>56</t>
  </si>
  <si>
    <t>BABY CREMA COTTON&amp;PANTENOL W 56 BAG</t>
  </si>
  <si>
    <t>BABY CREMA ALOE 64 BAG</t>
  </si>
  <si>
    <t>64</t>
  </si>
  <si>
    <t>BABY CREMA CAMOMIL W 64 BAG</t>
  </si>
  <si>
    <t>BABY CREMA PLAY TIME CAMOMIL W 64 BAG</t>
  </si>
  <si>
    <t>BABYCREMA CAMOMIL W 4X64 BAG SUPERTSENA</t>
  </si>
  <si>
    <t>BABY CREMA ALOE&amp;ALMOND OIL W 72 BAG</t>
  </si>
  <si>
    <t>72</t>
  </si>
  <si>
    <t>BABY CREMA CAMOMIL&amp;ALMOND W 72 BAG</t>
  </si>
  <si>
    <t>BABY CREMA COTTON W 2X72BAG50%OT TS.VTOR</t>
  </si>
  <si>
    <t>BABY CREMA COTTON&amp;PANTENOL W 72 BAG</t>
  </si>
  <si>
    <t>BABY CREMA NEVEN PH5.5 W 72 BAG</t>
  </si>
  <si>
    <t>BABY CREMA SMRADLIKA PH5.5 W 72 BAG</t>
  </si>
  <si>
    <t>BABY CREMA WATER 99% W 72 BAG</t>
  </si>
  <si>
    <t>BABYCREMA CAMOMILE W 2X72BAG50%OTTS.VTOR</t>
  </si>
  <si>
    <t>BABYCREMA COTTON&amp;PANTENOL W 3X72/1FR BAG</t>
  </si>
  <si>
    <t>BABYCREMA PLAYTIME CAMOMIL W 72 BAG KAPA</t>
  </si>
  <si>
    <t>BABY CREMA ALOE W 80 BAG</t>
  </si>
  <si>
    <t>BABY CREMA CAMOMIL W 80 BAG</t>
  </si>
  <si>
    <t>LINDY VITAMIN E PH5.5 W 120 BAG</t>
  </si>
  <si>
    <t>LINDY ALOE VERA&amp;VIT E W 64 BAG</t>
  </si>
  <si>
    <t>LINDY ALOE VERA&amp;VIT E W 64 BAG KAPAK</t>
  </si>
  <si>
    <t>LINDY CAMOMILE W 64 BAG</t>
  </si>
  <si>
    <t>LINDY CAMOMILE W 64 BAG KAPAK</t>
  </si>
  <si>
    <t>LINDY CREAM W 64 BAG KAPAK</t>
  </si>
  <si>
    <t>LINDY CREAM&amp;VIT.E PH5.5 W 64 BAG</t>
  </si>
  <si>
    <t>LINDY OLIVE OIL EXTR. PH5.5 W 64 BAG</t>
  </si>
  <si>
    <t>LINDY OLIVE OIL EXTR. W 64 BAG KAPAK</t>
  </si>
  <si>
    <t>LINDY SENSITIVE COTTON PH5.5 W 64 BAG</t>
  </si>
  <si>
    <t>SENSITIVE</t>
  </si>
  <si>
    <t>LINDY SENSITIVE W 64 BAG KAPAK</t>
  </si>
  <si>
    <t>LINDY WHITE TEA&amp;VIT E W 64 BAG</t>
  </si>
  <si>
    <t>LINDY PREMIUM LAVENDER W 90 BAG KAPAK</t>
  </si>
  <si>
    <t>90</t>
  </si>
  <si>
    <t>HYPOALLERGENIC</t>
  </si>
  <si>
    <t>LUBA BABY B5&amp;VIT E PH5.5W 120 BAG</t>
  </si>
  <si>
    <t>LUBA BABY B5&amp;VIT E PH5.5 90 W BAG</t>
  </si>
  <si>
    <t>HUGGLO BABY PH5.5 W 120 BAG KAPAK</t>
  </si>
  <si>
    <t>PAPILION BABY ALOE VERA W 100 BAG KAPAK</t>
  </si>
  <si>
    <t>PAPILION BABY SENSITIVE W 100 BAG KAPAK</t>
  </si>
  <si>
    <t>PAPILION BABY WET CHAMOMILE W 100 BAG</t>
  </si>
  <si>
    <t>PAPILION BABY WET GREEN APPLE W 100 BAG</t>
  </si>
  <si>
    <t>PAPILION BABYWET CHARM.LAVENDER W 100BAG</t>
  </si>
  <si>
    <t>PAPILION BABYWET CHARMINGROSE W 100 BAG</t>
  </si>
  <si>
    <t>PAPILION BABYWET GRAPEFRUIT&amp;LIME W 100BA</t>
  </si>
  <si>
    <t>PAPILION JUMBO WET PH5.5 W 120 BAG KAPAK</t>
  </si>
  <si>
    <t>PAPILION BABY WET SENSITIVE W 72 BAG</t>
  </si>
  <si>
    <t>PAPILION YELLOW LILY W 90 BAG KAPAK</t>
  </si>
  <si>
    <t>HONEY BEBISH WITH CREAM W 102 BAG KAPAK</t>
  </si>
  <si>
    <t>102</t>
  </si>
  <si>
    <t>PINE ALOE VERA KREMALI W 120 BAG KAPAK</t>
  </si>
  <si>
    <t>PINE ALOE VERA KREMALI W 72 BAG KAPAK</t>
  </si>
  <si>
    <t>TROMPY 20 BAG</t>
  </si>
  <si>
    <t>25</t>
  </si>
  <si>
    <t>HAPPY FRESH BABY CREAM W 72 BAG</t>
  </si>
  <si>
    <t>HAPPY FRESH BABY W 72 BAG KAPAK</t>
  </si>
  <si>
    <t>ULTRA COMPACT ANGELS ALC.FREE W 120 BAG</t>
  </si>
  <si>
    <t>ULTRA COMPACT MOMO CREAMY W 120 BAG</t>
  </si>
  <si>
    <t>ULTRA COMPACT ANGELS ALC.FREE W 72 BAG</t>
  </si>
  <si>
    <t>ULTRACOMPACT BABY PH5.5 ALC.FREE W 72 BA</t>
  </si>
  <si>
    <t>KANZ NATURAL SENS.SKIN ALC.FREE W120 BAG</t>
  </si>
  <si>
    <t>KANZ EXTRA SOFT ALC.FREE W 50 BAG</t>
  </si>
  <si>
    <t>KANZ ULTRA SOFT ALC.FREE W 72 BAG</t>
  </si>
  <si>
    <t>CHICCO SALVIETTINE SENSITIVE W 60 BAG</t>
  </si>
  <si>
    <t>60</t>
  </si>
  <si>
    <t>CHICCO SALVIETTINE PARABENI W 72 BAG</t>
  </si>
  <si>
    <t>UNI COMFORT LOTION P H5.5 72 BAG</t>
  </si>
  <si>
    <t>30</t>
  </si>
  <si>
    <t>70</t>
  </si>
  <si>
    <t>EVENT BABY CALENDULA 140 BAG KAPAK</t>
  </si>
  <si>
    <t>140</t>
  </si>
  <si>
    <t>EVENT BABY CALENDULA 140 BAG KAPAK+WIP</t>
  </si>
  <si>
    <t>EVENT BABY MOIST.CHAMOMILE 20 W BAG</t>
  </si>
  <si>
    <t>EVENT BABY SENSIT. ALOE VERA 20 BAG</t>
  </si>
  <si>
    <t>EVENT BABY CALENDULA W 25 BAG</t>
  </si>
  <si>
    <t>EVENT BABY CALENDULA W 25 BAG+WIP 140</t>
  </si>
  <si>
    <t>EVENT BABY CALENDULA HYPOALL.W 30 BAG</t>
  </si>
  <si>
    <t>EVENT BABY HYPOAL.CALENDULA 64 W BAG</t>
  </si>
  <si>
    <t>EVENT BABY HYPOALL.CHAMOMILE 72 W BAG</t>
  </si>
  <si>
    <t>EVENT BABY MOIST.CHAMOMILE 72 W BAG</t>
  </si>
  <si>
    <t>EVENT BABY SENSIT. ALOE VERA 72 W BAG</t>
  </si>
  <si>
    <t>TEX BABY PH5.5 ALC.FREE W 100 BAG PURPLE</t>
  </si>
  <si>
    <t>TEX BABY PH5.5 ALC.FREE W 100 BAG YELLOW</t>
  </si>
  <si>
    <t>24</t>
  </si>
  <si>
    <t>66</t>
  </si>
  <si>
    <t>NIVEA BABY SOFT&amp;CREME 20 BAG</t>
  </si>
  <si>
    <t>NIVEA BABY TODDIES 2IN1 60 BAG</t>
  </si>
  <si>
    <t>NIVEA BABY FRESH&amp;PURE 63 BAG</t>
  </si>
  <si>
    <t>63</t>
  </si>
  <si>
    <t>NIVEA BABY PURE&amp;SENSITIVE 63 W BAG</t>
  </si>
  <si>
    <t>NIVEA BABY SOFT&amp;CREME 63 BAG</t>
  </si>
  <si>
    <t>SMILE (BIOSPHERE CORP.)</t>
  </si>
  <si>
    <t>SMILE ALOE&amp;CAMOMILE PH5.5 60 BAG</t>
  </si>
  <si>
    <t>SOFTLINE FRESHERCREAMVITE PH5.5 W 120BAG</t>
  </si>
  <si>
    <t>BABYCARE WITHCREAM W 80/8FREE BAG KAPAK</t>
  </si>
  <si>
    <t>BABY WISH VITE&amp;PROVITAMINB5 W 120 BAG</t>
  </si>
  <si>
    <t>COSMI</t>
  </si>
  <si>
    <t>COSMI BABY ARGAN W 20 BAG</t>
  </si>
  <si>
    <t>AQUELLA BABY AMUR WITH CREAM W 120 BAG</t>
  </si>
  <si>
    <t>AQUELLA BABY ULTRA SOFT CREAM W 120 BAG</t>
  </si>
  <si>
    <t>AQUELLA TROPIC ALC.FREE W 120 BAG</t>
  </si>
  <si>
    <t>AQUELLA KIDS BABY ALOEVERA&amp;CREAM W 60BAG</t>
  </si>
  <si>
    <t>AQUELLA BABY VIT E&amp;PRO B5 W 72 BAG</t>
  </si>
  <si>
    <t>AQUELLA KIDS BABY PH5.5 W 72 BAG</t>
  </si>
  <si>
    <t>AQUELLA BABY VIT E&amp;PRO B5 W 90 BAG KAPAK</t>
  </si>
  <si>
    <t>AURA ULTRA COMF. COTTON HYPOALL. W 100 B</t>
  </si>
  <si>
    <t>AURA ULTRA COMFORT COTTON W 63 BAG</t>
  </si>
  <si>
    <t>COTTON BABY UL.SOFT CREAM ALC.FREE W 120</t>
  </si>
  <si>
    <t>COTTON BABY PH5.5 AL.FREE W 90 BAG KAPAK</t>
  </si>
  <si>
    <t>MIMI NICE BABY PH5.5 W 15 BAG</t>
  </si>
  <si>
    <t>MY COMFORT BABY ANGEL PH5.5 W 120 BAG</t>
  </si>
  <si>
    <t>MY COMFORT BABY ARGAN ALK.FREE W 120 BAG</t>
  </si>
  <si>
    <t>NICEBABY PROVITB5&amp;VITE PH5.5 W 120 BAG</t>
  </si>
  <si>
    <t>WINEX BABY PH5.5 W 72 BAG</t>
  </si>
  <si>
    <t>WINEX BABY PROVITB5&amp;VIT.F PH5.5 W 72 BAG</t>
  </si>
  <si>
    <t>FOMEX PH5.5 ALC.FREE W 72 BAG KAPAK</t>
  </si>
  <si>
    <t>PADDLERS (ENKA HIJYUEN)</t>
  </si>
  <si>
    <t>PADDLERS SOFT&amp;CREAM PROVITB5&amp;VITE W 120</t>
  </si>
  <si>
    <t>PADDLERS SOFT&amp;CREAM PROVITB5&amp;VITE W 80</t>
  </si>
  <si>
    <t>PURE BABY JUMBO PH5.5 W 120 BAG</t>
  </si>
  <si>
    <t>SLEEPY BABY SENSITIVE 110 W BAG KAPAK</t>
  </si>
  <si>
    <t>110</t>
  </si>
  <si>
    <t>SLEEPY BABY APPLE AL.FREE W 120 BAG</t>
  </si>
  <si>
    <t>SLEEPY BABY LEMON AL.FREE W 120 BAG</t>
  </si>
  <si>
    <t>SLEEPY BABY ORANGE AL.FREE W 120 BAG</t>
  </si>
  <si>
    <t>SLEEPY BABY PH5.5 120 W BAG KAPAK</t>
  </si>
  <si>
    <t>SLEEPY STRAWBERRY BABY AL.FREE 120 W BAG</t>
  </si>
  <si>
    <t>SLEEPY BABY MIXED FRUIT PH5.5 15 W BAG</t>
  </si>
  <si>
    <t>SLEEPY BABY PH5.5 70 W BAG</t>
  </si>
  <si>
    <t>YESS BABY (ERUSLU)</t>
  </si>
  <si>
    <t>YESS BABY ALC.FREE W 120 BAG</t>
  </si>
  <si>
    <t>YESS BABY ALC.FREE W 15 BAG</t>
  </si>
  <si>
    <t>ELAN SENS.CREAM LOTION W 120 BAG ZELENI</t>
  </si>
  <si>
    <t>LAN SENS.CREAM LOTION 120 BAG LILAVI</t>
  </si>
  <si>
    <t>SETABLU OAT EXTRACT PH5.5 W 72 BAG KAPAK</t>
  </si>
  <si>
    <t>LIBERO (ESSITY)</t>
  </si>
  <si>
    <t>LIBERO ALOE ALC.FREE W 20 BAG</t>
  </si>
  <si>
    <t>LIBERO ALOE&amp;CHAMOMILE W 20 BAG</t>
  </si>
  <si>
    <t>LIBERO ALOE&amp;CHAMOMILE W 4X64 BAG</t>
  </si>
  <si>
    <t>LIBERO ALOE&amp;CHAMOMILE W 64 BAG</t>
  </si>
  <si>
    <t>EVY BABY SOFT CHAMOMILE ALC.FREE W50 BAG</t>
  </si>
  <si>
    <t>EVY BABY SOFT CHAMOMILE EXTRACT W 56 BAG</t>
  </si>
  <si>
    <t>EVY BABY CREAMY ALOE VERA MOIST W 60 BAG</t>
  </si>
  <si>
    <t>EVY BABY SOFT CHAMOMILE EXTRACT W 60 BAG</t>
  </si>
  <si>
    <t>FEMOLE (FEM COSMETIC)</t>
  </si>
  <si>
    <t>FEMOLE FRESH VITE PH5.5 W 72 BAG CHERVEN</t>
  </si>
  <si>
    <t>FEMOLE FRESHBABY VITE PH5.5 W 72 BAG SIN</t>
  </si>
  <si>
    <t>BERFINY (FULYA COSMETICS)</t>
  </si>
  <si>
    <t>BERFINY CLASSIC BABY W 72 BAG</t>
  </si>
  <si>
    <t>BERFINY EXTRA BABY W 72 BAG</t>
  </si>
  <si>
    <t>FRESH RUNY (FULYA COSMETICS)</t>
  </si>
  <si>
    <t>FRESH RUNY BABY PH5.5 ALC.FREE W 120 BAG</t>
  </si>
  <si>
    <t>FRESH RUNY BABY MILK&amp;HONEY W 64 BAG</t>
  </si>
  <si>
    <t>FRESH RUNY BABY W 64 BAG</t>
  </si>
  <si>
    <t>FRESHMAKER (FULYA COSMETICS)</t>
  </si>
  <si>
    <t>FRESH MAKER BABY CREAM FRUIT W 100 BAG</t>
  </si>
  <si>
    <t>FRESH MAKER BABY PH5.5 W 120 BAG JUMBO</t>
  </si>
  <si>
    <t>FRESH MAKER BABY CREAM W 120/48FREE BAG</t>
  </si>
  <si>
    <t>FRESH MAKER BABY CREAM W 72 BAG</t>
  </si>
  <si>
    <t>FRESH MAKER BABY CREAM W 72 BAG KAPAK</t>
  </si>
  <si>
    <t>FRESH MAKER BABY CREAM W 96/24FREE BAG</t>
  </si>
  <si>
    <t>FRESH MAKER BABY W 72 BAG</t>
  </si>
  <si>
    <t>FRESH MAKER BABY WITH CREAM W 72 BAG</t>
  </si>
  <si>
    <t>FRESH MAKER ALOE VERA PH5.5 W 90 BAG</t>
  </si>
  <si>
    <t>FRESH MAKER SENSITIVE ALC.FREE W 90 BAG</t>
  </si>
  <si>
    <t>HAPPY (FULYA COSMETICS)</t>
  </si>
  <si>
    <t>HAPPY ALOE VERA W 100 BAG KAPAK</t>
  </si>
  <si>
    <t>KIDS (FULYA KOZM.)</t>
  </si>
  <si>
    <t>KIDS BABY WET WIPES W 72 BAG KAPACHE</t>
  </si>
  <si>
    <t>LIO FRESH (FULYA COSMETICS)</t>
  </si>
  <si>
    <t>LIO FRESH BABY CREAM LOTION W 72 BAG</t>
  </si>
  <si>
    <t>LIOLA (FULYA COSMETICS)</t>
  </si>
  <si>
    <t>NEMDIL (FULYA COSMETICS)</t>
  </si>
  <si>
    <t>NEMDIL BABY ROSE W 120 BAG KAPAK</t>
  </si>
  <si>
    <t>NEMDIL BABY WITH CREAM W 120 BAG KAPAK</t>
  </si>
  <si>
    <t>NEMDIL BABY ALCOHOL FREE W 72 BAG</t>
  </si>
  <si>
    <t>NEMDIL BABY OLIVE OIL CAMOMILE W 72 BAG</t>
  </si>
  <si>
    <t>NEMDIL BABYDELUXEALOE&amp;MIK&amp;HONEY W 72KAPA</t>
  </si>
  <si>
    <t>PREMIUM (FULYA COSMETICS)</t>
  </si>
  <si>
    <t>PREMIUM QUALITY BABY W 72 BAG &amp;&amp;&amp;</t>
  </si>
  <si>
    <t>PURE (FULYA COSMETICS)</t>
  </si>
  <si>
    <t>PURE BABY LILIUM W 120 BAG KAPAK</t>
  </si>
  <si>
    <t>NAPEEZ BY GRACIA (GRACIA COMPANY)</t>
  </si>
  <si>
    <t>NAPEEZBYGRACIA BABY PH5.5 100 BAG KAPAK</t>
  </si>
  <si>
    <t>MIKE LINE (GRUPA POLUDNIE SP)</t>
  </si>
  <si>
    <t>MIKE LINE SENSIT.CREAM LOTION W 72 BAG</t>
  </si>
  <si>
    <t>PRIME (GRUPPO AVELLA SRL )</t>
  </si>
  <si>
    <t>PRIME OLIODIARGAN SENSITIVE 63 BAG KAPAK</t>
  </si>
  <si>
    <t>PRIME TALKO SENSITIVE 63 BAG KAPAK</t>
  </si>
  <si>
    <t>PRIME BABY ALC.FREE 72 BAG KAPAK</t>
  </si>
  <si>
    <t>PONKY (GULSAH KOZMETIK)</t>
  </si>
  <si>
    <t>PONKY BABY W 72 BAG +KAPACHE</t>
  </si>
  <si>
    <t>PONKY BABY WET TOWEL W 72 BAG ZHALTI</t>
  </si>
  <si>
    <t>POZZY (GULSAH KOZMETIK)</t>
  </si>
  <si>
    <t>POZZY EXTRA MILK&amp;HONEY PH5.5 W 72 BAG</t>
  </si>
  <si>
    <t>POZZY EXTRA OLIVE OIL ALC.FREE W 72 BAG</t>
  </si>
  <si>
    <t>CLEANIC (HARPER HYGIENICS)</t>
  </si>
  <si>
    <t>CLEANIC BABY ATOPICAL D-PANT. PH 50 BAG</t>
  </si>
  <si>
    <t>CLEANIC BABY PROBIOTICAL HYPOAL.50 BAG</t>
  </si>
  <si>
    <t>CLEANIC BABY VEGEMILK VIT&amp;MIN.50 BAG</t>
  </si>
  <si>
    <t>PETINO (HARPER HYGIENICS)</t>
  </si>
  <si>
    <t>PETINO DELICATO&amp;FRESH ALANTOIN 120 BAG</t>
  </si>
  <si>
    <t>PETINO DELICATO&amp;FRESH ALANTOIN 84/12FR</t>
  </si>
  <si>
    <t>MOLFIX (HAYAT KIMYA)</t>
  </si>
  <si>
    <t>MOLFIX SENSITIVE PH5.5 W 40 BAG</t>
  </si>
  <si>
    <t>MOLFIX BABY COTTON PH5.5 W 50 BAG HAYAT</t>
  </si>
  <si>
    <t>MOLFIX BABY IZOT.WATER PANT.&amp;LAN.W 60 BA</t>
  </si>
  <si>
    <t>MOLFIX BABY LOTION ISO.WATER W 3X60 BAG</t>
  </si>
  <si>
    <t>MOLFIX BABY LOTION PH5.5 W 60 BAG HAYAT</t>
  </si>
  <si>
    <t>MOLFIX BABY LOTION W 3X60 BAG HAYAT</t>
  </si>
  <si>
    <t>MOLFIX BABY LOTION W 3X63 BAG HAYAT</t>
  </si>
  <si>
    <t>MOLFIX BABY W 63 BAG HAYAT</t>
  </si>
  <si>
    <t>HIMALAYA (HIMALAYA DRUG)</t>
  </si>
  <si>
    <t>HIMALAYA ALOE VERA&amp;INDIANLOTUS W 20 BAG</t>
  </si>
  <si>
    <t>ALCOHOL FREE &amp; HYPOALLERGENIC</t>
  </si>
  <si>
    <t>HIMALAYA SOOTHING&amp;PROTECTINGBABY W 20BAG</t>
  </si>
  <si>
    <t>HIMALAYA ALOE VERA&amp;INDIANLOTUS W 56 BAG</t>
  </si>
  <si>
    <t>HIMALAYA SOOTHING&amp;PROTECTINGBABY W 56BAG</t>
  </si>
  <si>
    <t>HIPP (HIPP GMBH)</t>
  </si>
  <si>
    <t>HIPP BABY SANFT ALMOND PH5.5 W 10 BAG</t>
  </si>
  <si>
    <t>HIPP BABY ULTRASENSITIVE MANDEL W 52 BAG</t>
  </si>
  <si>
    <t>52</t>
  </si>
  <si>
    <t>HIPP BABY ALMOND W 56 BAG</t>
  </si>
  <si>
    <t>HIPP BABY GENTLE CARING W 56 BAG</t>
  </si>
  <si>
    <t>HIPP BABY SANFT FEUCHT TUCHER W 56 BAG</t>
  </si>
  <si>
    <t>HIPP BABYSANFT BIOMANDELEXT.W 2X56+POD.</t>
  </si>
  <si>
    <t>HIPP BABYSANFT BIOMANDELEXTR. W 2X56 BAG</t>
  </si>
  <si>
    <t>HIPP BABYSANFT BIOMANDELEXTRACT W 56 BAG</t>
  </si>
  <si>
    <t>BIONIKE (ICIM INTERNATIONAL)</t>
  </si>
  <si>
    <t>BIONIKE TRIDERM BABY CLEANSING 72 BAG</t>
  </si>
  <si>
    <t>WATER WIPES (IRISH BREEZE LTD)</t>
  </si>
  <si>
    <t>WATERWIPES FRUITEXTR.99.9%WATER W 10 BAG</t>
  </si>
  <si>
    <t>WATERWIPES FRUITEXTR.99.9%WATER W 240BAG</t>
  </si>
  <si>
    <t>240</t>
  </si>
  <si>
    <t>WATERWIPES FRUITEXTR.99.9%WATER W 28 BAG</t>
  </si>
  <si>
    <t>28</t>
  </si>
  <si>
    <t>WATERWIPES FRUITEXTR.99.9%WATER W 60 BAG</t>
  </si>
  <si>
    <t>WATERWIPES SOAPBERRY99.9%WATER W 60 BAG</t>
  </si>
  <si>
    <t>PAW PATROL (JELLYWORKS HEALTHCARE)</t>
  </si>
  <si>
    <t>PEPPA PIG (JELLYWORKS HEALTHCARE)</t>
  </si>
  <si>
    <t>PEPPA PIG BABY MUDDY PUDDLE 56 W BAG</t>
  </si>
  <si>
    <t>JOHNSONS (JOHNSON &amp; JOHNSON INT.)</t>
  </si>
  <si>
    <t>JOHNSONS BABY GENTLE ALL OVER W 20 BAG</t>
  </si>
  <si>
    <t>JOHNSONS BAB COT.TOU SEN.W56+BOD+SHG+IGR</t>
  </si>
  <si>
    <t>JOHNSONS BABY COTTON TOUCH SENS.W 56 BAG</t>
  </si>
  <si>
    <t>JOHNSONS BABY GENTLE ALL OVER W 3X56 BAG</t>
  </si>
  <si>
    <t>JOHNSONS BABY GENTLE ALL OVER W 56 BAG</t>
  </si>
  <si>
    <t>JOHNSONS BABY SILK EXTRACT W 56 BAG</t>
  </si>
  <si>
    <t>JOHNSONS BABY GENTLE ALL OVER W 72 BAG K</t>
  </si>
  <si>
    <t>JOHNSONS BABY SENSITIVE ALC.FREE W 72 BA</t>
  </si>
  <si>
    <t>MAIA (KALESAN)</t>
  </si>
  <si>
    <t>MAIA BABY PURE&amp;SENSITIVE PH5.5 W 72 BAG</t>
  </si>
  <si>
    <t>BEBECEN (KANTARA PRODUKSIYON DAGITIM)</t>
  </si>
  <si>
    <t>BEBECAN PH5.5 ALC.FREE W 72 BAG KANTARA</t>
  </si>
  <si>
    <t>KRISPA (KAPPUS)</t>
  </si>
  <si>
    <t>KRISPA BABY CAMOMILE W 15 BAG</t>
  </si>
  <si>
    <t>KRISPA BABY CAMOMILE P H5.5 W 80 BAG</t>
  </si>
  <si>
    <t>SOFT &amp; FRESH (KARDESLER UCANYAGLAR SAN A</t>
  </si>
  <si>
    <t>FRESH'N SOFT WATER&amp;COTTON W 3X40 BAG</t>
  </si>
  <si>
    <t>FRESH'N SOFT CLASSIC PH5.5 W 90 BAG</t>
  </si>
  <si>
    <t>RENKLY BABY (KARTOPU KOLONYA)</t>
  </si>
  <si>
    <t>RENKLY JUMBO CHAMOMILE 120 W BAG KAPAK</t>
  </si>
  <si>
    <t>RENKLY BABY ALC.FREE W 70 BAG</t>
  </si>
  <si>
    <t>RENKLY BABY ALOE VERA 70 W BAG</t>
  </si>
  <si>
    <t>RENKLI BABY ALC.FREE PH5.5 W 72 BAG KAPA</t>
  </si>
  <si>
    <t>RENKLY BABY 72 W BAG</t>
  </si>
  <si>
    <t>HUGGIES (KIMBERLEY CLARK)</t>
  </si>
  <si>
    <t>HUGGIES NATURAL CARE ALOE VERA W 56 BAG</t>
  </si>
  <si>
    <t>HUGGIES PURE COTTON WOOL&amp;WATER 56 W BAG</t>
  </si>
  <si>
    <t>HUGGIES SOFT SKIN VIT E 56 BAG</t>
  </si>
  <si>
    <t>HUGGIES SOFTTOUCH WITHLOTION&amp;VITE 56 BAG</t>
  </si>
  <si>
    <t>HUGGIES UNISTAR LINGETTES 56 W BAG</t>
  </si>
  <si>
    <t>HUGGIES ALOE+VIT E W 64 BAG</t>
  </si>
  <si>
    <t>HUGGIES BABY UNISTAR W 64 BAG</t>
  </si>
  <si>
    <t>HUGGIES PURE COTTON WOOL&amp;WATER 64 W BAG</t>
  </si>
  <si>
    <t>HUGGIES PURE 99% WATER 72 W BAG</t>
  </si>
  <si>
    <t>KOMILI (KOMILI S.A.)</t>
  </si>
  <si>
    <t>KOMILI BABY SOFT ALC.FREE W 70 BAG</t>
  </si>
  <si>
    <t>KOMILI BABY COTTON PH5.5 W 80 BAG</t>
  </si>
  <si>
    <t>TANGO (KOZMO KIMYA)</t>
  </si>
  <si>
    <t>TANGO BABY SOFT VIT E ALC.FREE 72BR BAG</t>
  </si>
  <si>
    <t>MUSTELA (LABORATORY EXPANSCIENCE)</t>
  </si>
  <si>
    <t>MUSTELA BEBE CLEANSING 25 W BAG</t>
  </si>
  <si>
    <t>MUSTELA BEBE CLEANSING 25 W NP KAPAK</t>
  </si>
  <si>
    <t>MUSTELA BEBE STELATOPIA W 50 BAG KAPAK</t>
  </si>
  <si>
    <t>MUSTELABEBE STELATOPIAW50KAP+BOD+BOD+BOD</t>
  </si>
  <si>
    <t>MUSTELA BEBE CLEANSING 60 W BAG</t>
  </si>
  <si>
    <t>MUSTELA BEBE CLEANSING AVOCADO 70 W BAG</t>
  </si>
  <si>
    <t>MUSTELA BEBE CLEANSING W 70 BAG KAPAK</t>
  </si>
  <si>
    <t>MUSTELA BEBE SOOTHING ALOE VERA 70 W BAG</t>
  </si>
  <si>
    <t>LANSINOH (LANSINOH LABORATORIE INC)</t>
  </si>
  <si>
    <t>LANSINOH BABY ALC.FREE W 80 BAG KAPAK</t>
  </si>
  <si>
    <t>LARA (LARA KOZMETIK)</t>
  </si>
  <si>
    <t>LARA BABY SOFT ALOE VERA W 100 BAG KAPAK</t>
  </si>
  <si>
    <t>LARA BABY SOFT CAMOMILE W 100 BAG KAPAK</t>
  </si>
  <si>
    <t>LARA BABY SOFT GERBERA DAISY W 100 BAG</t>
  </si>
  <si>
    <t>LARA BABY SOFT LAVENDER W 100 BAG KAPAK</t>
  </si>
  <si>
    <t>LARA BABY SOFT WILD ROSE W 100 BAG KAPAK</t>
  </si>
  <si>
    <t>LARA BABYSOFT LEMON&amp;GRAPEFRUIT W 100 BAG</t>
  </si>
  <si>
    <t>LARA BABY SOFT ALOE VERA W 120 BAG KAPAK</t>
  </si>
  <si>
    <t>LARA BABY SOFT CAMOMILE BREEZE W 120 BAG</t>
  </si>
  <si>
    <t>LARA BABY SOFT CAMOMILE W 120 BAG KAPAK</t>
  </si>
  <si>
    <t>LARA BABY SOFT GERBER W 120 BAG KAPAK</t>
  </si>
  <si>
    <t>LARA BABY SOFT LAVENDER W 120 BAG KAPAK</t>
  </si>
  <si>
    <t>LARA BABY SOFT WILD ROSE W 120 BAG KAPAK</t>
  </si>
  <si>
    <t>LARA BABYSOFT LEMON&amp;GRAPEFRUIT W 120 BAG</t>
  </si>
  <si>
    <t>LARA BABYSOFT PREMIUM ALC.FREE W 120 BAG</t>
  </si>
  <si>
    <t>LARA BABY SOFT&amp;FRESH PH5.5 W 20 BAG</t>
  </si>
  <si>
    <t>LARA BABY SOFT ALOE VERA W 40 BAG</t>
  </si>
  <si>
    <t>LARA BABY SOFT VIT E&amp;PRO VIT B5 W 40 BAG</t>
  </si>
  <si>
    <t>LARA CARE BABY 99%WATER PREBIOTIC W 60</t>
  </si>
  <si>
    <t>LARA BABY FRESH W 72 BAG/KAPACHE</t>
  </si>
  <si>
    <t>LARA BABY SENSITIVE PH5.5 W 72 BAG</t>
  </si>
  <si>
    <t>LARA BABY SOFT CAMOMILE W 72 BAG/KAPACHE</t>
  </si>
  <si>
    <t>LARA BABY SOFT PH5.5 W 72 BAG</t>
  </si>
  <si>
    <t>LARA BABY SOFT PH5.5 W 72 BAG KAPAK</t>
  </si>
  <si>
    <t>LARA BABY SOFT VIT E&amp;PRO VIT B5 W 72 BAG</t>
  </si>
  <si>
    <t>LARA BABY SOFT&amp;FRESH W 72 BAG</t>
  </si>
  <si>
    <t>LARA BABY SPECIAL FORMULA VIT E W 72 BAG</t>
  </si>
  <si>
    <t>LARA BABY SOFT ALOE VERA W 80 BAG KAPAK</t>
  </si>
  <si>
    <t>LARA BABY SOFT WILD ROSE W 80 BAG KAPAK</t>
  </si>
  <si>
    <t>LARA BABYSOFT CAMOMILEBREEZ.W 80 BAG KAP</t>
  </si>
  <si>
    <t>LARA BABY SOFT EXTRA W 96 BAG/KAPACHE</t>
  </si>
  <si>
    <t>96</t>
  </si>
  <si>
    <t>PUFY (LARA COSMETIC)</t>
  </si>
  <si>
    <t>PUFY FRESH GERBERA PH5.5 W 120 BAG</t>
  </si>
  <si>
    <t>TOP BLITZ (LARA KOSMETICK)</t>
  </si>
  <si>
    <t>TOP BLITZ CREAM VIT E W 72 BAG</t>
  </si>
  <si>
    <t>54</t>
  </si>
  <si>
    <t>CONFY (LIDERSAN SAGLIK VE GIDA)</t>
  </si>
  <si>
    <t>CONFY BABY PH5.5 W 40 BAG</t>
  </si>
  <si>
    <t>CONFY BABY SENSITIVE W 90 BAG</t>
  </si>
  <si>
    <t>CONFY BABY SENSITIVE W 90 BAG PINK</t>
  </si>
  <si>
    <t>MIMOSA (MAPA INTERNATIONAL)</t>
  </si>
  <si>
    <t>MIMOSA BABY ALOE VERA 64 BAG</t>
  </si>
  <si>
    <t>MIMOSA BABY CHAMOMILE 64 BAG</t>
  </si>
  <si>
    <t>MIMOSA BABY PH5.5 72 BAG KAPAK</t>
  </si>
  <si>
    <t>SENCE (MAXBRANDS MARKETING B.V.)</t>
  </si>
  <si>
    <t>SENCE BABY SENSITIVE PH5.5 W 60 BAG</t>
  </si>
  <si>
    <t>BABY CARE (MEGA)</t>
  </si>
  <si>
    <t>BABY CARE CHAMOMILE 4X12/2FR BAG</t>
  </si>
  <si>
    <t>12</t>
  </si>
  <si>
    <t>BABY CARE CHAMOMILE W 12 BAG</t>
  </si>
  <si>
    <t>BABY CARE CHAMOMILE W 3X12/1FR BAG</t>
  </si>
  <si>
    <t>BABY CARE TRAVEL CHAMOMILE 20 BAG</t>
  </si>
  <si>
    <t>BABY CARE CLAMING PURE WATER 63 BAG</t>
  </si>
  <si>
    <t>BABY CARE PURE COTTON EXTRACT 63 BAG</t>
  </si>
  <si>
    <t>BABY CARE SENSITIVE OLIVE EXTRACT 63 BAG</t>
  </si>
  <si>
    <t>BABY CARE TRAVEL CHAMOMILE 72 BAG RE</t>
  </si>
  <si>
    <t>BABYLINO (MEGA S.A.)</t>
  </si>
  <si>
    <t>BABYLINO SENSITIVE ARNIKA&amp;CHAM W10+WIPFI</t>
  </si>
  <si>
    <t>BABY LINO SENSITIVE CHAMOMILE W 3X54/1FR</t>
  </si>
  <si>
    <t>BABY LINO SENSITIVE CHAMOMILE W 54 BAG</t>
  </si>
  <si>
    <t>BABYLINO SENSITIVE ARNIKACHAMOMILE W 54</t>
  </si>
  <si>
    <t>BABYLINO SENSITIVE CHAMOMILE W 54+10 BAG</t>
  </si>
  <si>
    <t>BABYLINO SENSITIVE CHAMOMILE W 54+WIP 10</t>
  </si>
  <si>
    <t>HUGGLO (MIS SAGLIK SAN.)</t>
  </si>
  <si>
    <t>HUGGLO WET&amp;SOFT W 100 BAG KAPAK</t>
  </si>
  <si>
    <t>L'UNICO (MONTRASIO)</t>
  </si>
  <si>
    <t>L'UNICO BABY OLIO DI ARGAN HYPO.W 72 BAG</t>
  </si>
  <si>
    <t>BIG SOFT (MORAMEX GROUP / TOBI MG LTD)</t>
  </si>
  <si>
    <t>BIG SOFT SENSITIVE WITH CREAM 100 BAG</t>
  </si>
  <si>
    <t>BIGSOFT SENSITIVEWITHCREAM 100 BAG KAPAK</t>
  </si>
  <si>
    <t>BIG SOFT CREAM SENS.PH5.5 W 120 BAG</t>
  </si>
  <si>
    <t>BIG SOFT SENSITIVE OLIVE OIL ALOE 70 BAG</t>
  </si>
  <si>
    <t>HAPPY (MORAMEX GROUP / TOBI MG LTD)</t>
  </si>
  <si>
    <t>HAPPY FAMILY BABY PH5.5 W 70 BAG</t>
  </si>
  <si>
    <t>MORS (MORS COSMETICS)</t>
  </si>
  <si>
    <t>MORS CHAMOMILE PH5.5 W 120 BAG KAPAK</t>
  </si>
  <si>
    <t>WIPEST (MORS COSMETICS)</t>
  </si>
  <si>
    <t>WIPEST COMFORT ALC.FREE W 120 BAG KAPAK</t>
  </si>
  <si>
    <t>WIPEST COMFORT ALC.FREE W 72 BAG KAPAK</t>
  </si>
  <si>
    <t>NATY (NATY AB)</t>
  </si>
  <si>
    <t>NATY SENSITIVE ALOE VERA W 56 BAG</t>
  </si>
  <si>
    <t>NATY SENSITIVE W 56 BAG NATY AB</t>
  </si>
  <si>
    <t>FRESH BABY (NAVIGA TURKEY)</t>
  </si>
  <si>
    <t>FRESH BABY PREMIUM ALC.FREE W 100 BAG</t>
  </si>
  <si>
    <t>FRESH BABY PH5.5 W 15 BAG</t>
  </si>
  <si>
    <t>FRESH BABY WATER 99.9% W 60 BAG</t>
  </si>
  <si>
    <t>FRESH BABY P H5.5 W 72 BAG</t>
  </si>
  <si>
    <t>FRESH BABY PH5.5 W 72 BAG KAPAK</t>
  </si>
  <si>
    <t>GOLDEN (NAVIGA TURKEY)</t>
  </si>
  <si>
    <t>GOLDEN SENSITIVE W 120 BAG</t>
  </si>
  <si>
    <t>GOLDEN SENSITIVE W 72 BAG</t>
  </si>
  <si>
    <t>MY FIX (NAVIGA TURKEY)</t>
  </si>
  <si>
    <t>MY FIX BABY ROSE FRESH W 80 BAG KAPAK</t>
  </si>
  <si>
    <t>PUFFY (NAVIGA TURKEY)</t>
  </si>
  <si>
    <t>PUFFY BABY SENSITIVE PURE W 88 BAG KAPAK</t>
  </si>
  <si>
    <t>88</t>
  </si>
  <si>
    <t>TITO (NAVIGA TURKEY)</t>
  </si>
  <si>
    <t>TITO BABY SOFT COMFORT PH5.5 W 120 BAG</t>
  </si>
  <si>
    <t>TITO BABY PH5.5 ALC.FREE W 72 BAG KAPAK</t>
  </si>
  <si>
    <t>TITO BABY SOFT COMFORT PH5.5 W 72 BAG</t>
  </si>
  <si>
    <t>FRESH (NUR GIDA SAN)</t>
  </si>
  <si>
    <t>FRESH BABY PREM.QUALITY PH5.5 W 120 BAG</t>
  </si>
  <si>
    <t>FRESH SENSE (NUR GIDA SAN)</t>
  </si>
  <si>
    <t>FRESH SENSE CHAMOM.LOTION PH5.5 72 BAG</t>
  </si>
  <si>
    <t>PUFY (NUR GIDA SANAYI)</t>
  </si>
  <si>
    <t>PUFY BABY CHAMOMILE PH5.5 W 120 BAG</t>
  </si>
  <si>
    <t>SPEEDY CARE (O-PAC S.R.L.)</t>
  </si>
  <si>
    <t>SPEEDYCARE BABYLINECONCREMAMAXI 20 BAG</t>
  </si>
  <si>
    <t>CAN BEBE (ONTEX)</t>
  </si>
  <si>
    <t>CAN BEBE BASIC CARE ALK.FREE W 56 BAG</t>
  </si>
  <si>
    <t>BABS &amp; BABS (OZDAMARLAR GIDA A.S.)</t>
  </si>
  <si>
    <t>BABS&amp;BABS BABY PH5.5 120 W BAG KAPAK</t>
  </si>
  <si>
    <t>KOPRINA (OZYURT TEKSTIL SAN)</t>
  </si>
  <si>
    <t>BEBIKO (PAKSEL KIMYA)</t>
  </si>
  <si>
    <t>BEBIKO VIPBABY ACTIVE&amp;SOFT PH5.5 100 BAG</t>
  </si>
  <si>
    <t>BEBIKO VIP BABY ALOE VERA W 72 BAG KAPAK</t>
  </si>
  <si>
    <t>PAPATYA (PAPATYA PAMUK KOSMETIK)</t>
  </si>
  <si>
    <t>PAPATYA BABY B5&amp;VIT E PH5.5 90 W BAG</t>
  </si>
  <si>
    <t>PERFETTO (PERFETTO GROUP)</t>
  </si>
  <si>
    <t>PERFETTO PH5.5 ALC.FREE W 80 BAG</t>
  </si>
  <si>
    <t>BETTY (PHOENIX PHARMA DOO)</t>
  </si>
  <si>
    <t>BETTY BABY ALC.FREE W 24 BAG</t>
  </si>
  <si>
    <t>BETTY BABY ALC.FREE W 72 BAG</t>
  </si>
  <si>
    <t>KLORANE (PIERRE FABRE)</t>
  </si>
  <si>
    <t>KLORANE BEBE CALENDULA ALC.FREE W 25 BAG</t>
  </si>
  <si>
    <t>KLORANE BEBE CALENDULA CLEAN.LOTION W 70</t>
  </si>
  <si>
    <t>KLORANE BEBE CALENDULA THICKCL. W 70 BAG</t>
  </si>
  <si>
    <t>KLORANE BEBE CALENDULA W 70 SP.TS. BAG</t>
  </si>
  <si>
    <t>FRESH (PIRAMIDA 72 DOO)</t>
  </si>
  <si>
    <t>FRESH BABY ALOE&amp;CALEN. PH5.5 W 60 BAG</t>
  </si>
  <si>
    <t>FRESH BABY AQUA PURE PH5.5 W 60 BAG</t>
  </si>
  <si>
    <t>FRESH BABY CARE ALOE VERA W 60 BAG</t>
  </si>
  <si>
    <t>FRESH BABY SOFT CREAM W 60 BAG</t>
  </si>
  <si>
    <t>SLIPP (PREDO)</t>
  </si>
  <si>
    <t>SLIPP BEBE SENS.LOTION&amp;VITE&amp;B5 W 120 BAG</t>
  </si>
  <si>
    <t>MELANI (PROBEG 97)</t>
  </si>
  <si>
    <t>MELANI BABY ALOEVERA&amp;VITE W 64 BAG KAPAK</t>
  </si>
  <si>
    <t>PAMPERS (PROCTER &amp; GAMBLE)</t>
  </si>
  <si>
    <t>PAMPERS AQUA PURE ALC.FREE 12 BAG+DIA</t>
  </si>
  <si>
    <t>PAMPERS AQUA PURE ALC.FREE 12 BAG+DIA28</t>
  </si>
  <si>
    <t>PAMPERS AQUA PURE ALC.FREE 12 BAG+DIA50</t>
  </si>
  <si>
    <t>PAMPERS SENSITIVE ALC.FREE 12 BAG</t>
  </si>
  <si>
    <t>PAMPERS SENSITIVE PH5.5 12 BAG</t>
  </si>
  <si>
    <t>PAMPERS SENSITIVE PROTECT PH5.5 12 BAG</t>
  </si>
  <si>
    <t>PAMPERS BABY FRESH 24 BAG</t>
  </si>
  <si>
    <t>PAMPERS SOLE E LUNA CAMOMILLA 50/25%BAG</t>
  </si>
  <si>
    <t>37</t>
  </si>
  <si>
    <t>PAMPERS AQUA HARMONIE 99%WATER 3X48 BAG</t>
  </si>
  <si>
    <t>48</t>
  </si>
  <si>
    <t>PAMPERS AQUA HARMONIE 99%WATER AL.FR.48</t>
  </si>
  <si>
    <t>PAMPERS AQUA PURE ALC.FREE 3X48 BAG</t>
  </si>
  <si>
    <t>PAMPERS AQUA PURE ALC.FREE 48 BAG</t>
  </si>
  <si>
    <t>PAMPERS SENSITIVE 50 BAG</t>
  </si>
  <si>
    <t>PAMPERS BABY FRESH CLEAN W 2X52 BAG</t>
  </si>
  <si>
    <t>PAMPERS BABY FRESH CLEAN W 4X52 BAG</t>
  </si>
  <si>
    <t>PAMPERS BABY FRESH CLEAN W 52 BAG</t>
  </si>
  <si>
    <t>PAMPERS BABY FRESH CLEAN W 52 BAG+DIA 38</t>
  </si>
  <si>
    <t>PAMPERS BABY FRESH CLEAN W 52 BAG+DIA 40</t>
  </si>
  <si>
    <t>PAMPERS BABY FRESH CLEAN W 52 BAG+DIA 42</t>
  </si>
  <si>
    <t>PAMPERS BABY FRESH CLEAN W 52 BAG+DIA 44</t>
  </si>
  <si>
    <t>PAMPERS BABY FRESH CLEAN W 52 BAG+DIA 51</t>
  </si>
  <si>
    <t>PAMPERS BABY FRESH CLEAN W 52 BAG+DIA 52</t>
  </si>
  <si>
    <t>PAMPERS BABY FRESH CLEAN W 52 BAG+DIA 53</t>
  </si>
  <si>
    <t>PAMPERS BABY FRESH CLEAN W 52 BAG+DIA 54</t>
  </si>
  <si>
    <t>PAMPERS BABY FRESH CLEAN W 52 BAG+DIA 58</t>
  </si>
  <si>
    <t>PAMPERS BABY FRESH CLEAN W 52 BAG+DIA 60</t>
  </si>
  <si>
    <t>PAMPERS BABY FRESH CLEAN W 52 BAG+DIA 66</t>
  </si>
  <si>
    <t>PAMPERS BABY FRESH CLEAN W 52 BAG+DIA 68</t>
  </si>
  <si>
    <t>PAMPERS BABY FRESH CLEAN W 52 BAG+DIA 76</t>
  </si>
  <si>
    <t>PAMPERS BABY FRESH CLEAN W 52 BAG+DIA 78</t>
  </si>
  <si>
    <t>PAMPERS BABY FRESH CLEAN W 52 BAG+DIA 90</t>
  </si>
  <si>
    <t>PAMPERS BABY FRESH CLEAN W 52 BAG+DIA104</t>
  </si>
  <si>
    <t>PAMPERS BABY FRESH CLEAN W 52 BAG+DIA50</t>
  </si>
  <si>
    <t>PAMPERS BABY FRESH CLEAN W 52+DIA PANT38</t>
  </si>
  <si>
    <t>PAMPERS BABY FRESH CLEAN W 6X52 BAG</t>
  </si>
  <si>
    <t>PAMPERS BABY FRESH CLEAN W52+DIA ACT6 44</t>
  </si>
  <si>
    <t>PAMPERS BABY FRESH CLEAN W52+DIA PANTS60</t>
  </si>
  <si>
    <t>PAMPERS SENSITIVE PH5.5 2X52 BAG</t>
  </si>
  <si>
    <t>PAMPERS SENSITIVE PH5.5 4X52 BAG</t>
  </si>
  <si>
    <t>PAMPERS SENSITIVE PH5.5 52 BAG</t>
  </si>
  <si>
    <t>PAMPERS SENSITIVE PH5.5 6X52 BAG</t>
  </si>
  <si>
    <t>PAMPERS SENSITIVE 54 BAG KAPAK</t>
  </si>
  <si>
    <t>PAMPERS SENSITIVE 2X56 BAG</t>
  </si>
  <si>
    <t>PAMPERS SENSITIVE 4X56 BAG</t>
  </si>
  <si>
    <t>PAMPERS SENSITIVE 56 BAG</t>
  </si>
  <si>
    <t>PAMPERS SENSITIVE 56 BAG KAPAK</t>
  </si>
  <si>
    <t>PAMPERS SENSITIVE 56 BAG+DIA PANTS3 60</t>
  </si>
  <si>
    <t>PAMPERS SENSITIVE 56 BAG+DIA PANTS4 52</t>
  </si>
  <si>
    <t>PAMPERS SENSITIVE 56 BAG+DIA PANTS5 48</t>
  </si>
  <si>
    <t>PAMPERS SENSITIVE 56 BAG+DIA PANTS5 48 1</t>
  </si>
  <si>
    <t>PAMPERS SENSITIVE 56 BAG+DIA PANTS5 52</t>
  </si>
  <si>
    <t>PAMPERS SENSITIVE 56 BAG+DIA PR CARE54</t>
  </si>
  <si>
    <t>PAMPERS SENSITIVE 56 BAG+DIAPREMCARE3 60</t>
  </si>
  <si>
    <t>PAMPERS SENSITIVE 56 BAG+DIAPREMCARE5 44</t>
  </si>
  <si>
    <t>PAMPERS SENSITIVE 56BAG+DIA PANTS6 44</t>
  </si>
  <si>
    <t>PAMPERS SENSITIVE 6X56/2BR FREE BAG</t>
  </si>
  <si>
    <t>PAMPERS SENSITIVE CAMOMILE&amp;ALOE 56 BAG</t>
  </si>
  <si>
    <t>PAMPERS SENSITIVE SOFTLIKECOTTON 56 BAG</t>
  </si>
  <si>
    <t>PAMPERS SENSITIVE W 6X56/336 BAG</t>
  </si>
  <si>
    <t>PAMPERS SENSITIVE XXL W 6X56/2BR FR BAG</t>
  </si>
  <si>
    <t>PAMPERS BABY FRESH ALOE W 64 BAG</t>
  </si>
  <si>
    <t>PAMPERS BABY FRESH CLEAN W 4X64 BAG</t>
  </si>
  <si>
    <t>PAMPERS BABY FRESH CLEAN W 64 BAG</t>
  </si>
  <si>
    <t>PAMPERS BABY FRESH CLEAN W 64 BAG+DIA 42</t>
  </si>
  <si>
    <t>PAMPERS BABY FRESH CLEAN W 64 BAG+DIA 76</t>
  </si>
  <si>
    <t>PAMPERS BABY FRESH CLEAN W 64 BAG+DIA68</t>
  </si>
  <si>
    <t>PAMPERS BABY FRESH CLEAN W 6X64/384 BAG</t>
  </si>
  <si>
    <t>PAMPERS BABY FRESH ECONOMY W 2X64 BAG</t>
  </si>
  <si>
    <t>PAMPERS BABYFRESHCLEAN ALOE W 6X64/2BRFR</t>
  </si>
  <si>
    <t>PAMPERS BABYFRESHCLEAN W 3X64/1FREE BAG</t>
  </si>
  <si>
    <t>PAMPERS BABYFRESHCLEAN W 6X64/2BRFR BAG</t>
  </si>
  <si>
    <t>PAMPERS CLEAN&amp;PLAY 64 BAG</t>
  </si>
  <si>
    <t>PAMPERS NATURAL CLEAN W 64 BAG KAPAK</t>
  </si>
  <si>
    <t>PAMPERS NATURALCLEAN FRAGR.FREE W 64 BAG</t>
  </si>
  <si>
    <t>PAMPERS NATURALLY CLEAN W 4X64 BAG</t>
  </si>
  <si>
    <t>PAMPERS NATURALLY CLEAN+CHAMOMILE W 2X64</t>
  </si>
  <si>
    <t>PAMPERS NATURALLYCLEAN+CHAMOMILE W64 BAG</t>
  </si>
  <si>
    <t>PAMPERS NATURALLYCLEAN+CHAMOMILE4X64/1FR</t>
  </si>
  <si>
    <t>PAMPERS BABY FRESH CLEAN XXL W 80 BAG</t>
  </si>
  <si>
    <t>PAMPERS SENSITIVE PH5.5 XXL 80 BAG</t>
  </si>
  <si>
    <t>PAMPERS HARMONIE COCO AL.FREE 3X42 BAG</t>
  </si>
  <si>
    <t>42.0000</t>
  </si>
  <si>
    <t>PAMPERS HARMONIE COCO AL.FREE 42 BAG</t>
  </si>
  <si>
    <t>PAMPERS PURE COCONUT AL.FREE 3X42 BAG</t>
  </si>
  <si>
    <t>PAMPERS PURE COCONUT AL.FREE 42 BAG</t>
  </si>
  <si>
    <t>PAMPERS 72 R BAG</t>
  </si>
  <si>
    <t>PAMPERS SENSITIVE 56 BOX</t>
  </si>
  <si>
    <t>BOX</t>
  </si>
  <si>
    <t>PRIMA (PROCTER &amp; GAMBLE)</t>
  </si>
  <si>
    <t>PRIMA HASSAS CILTLER W 56 BAG</t>
  </si>
  <si>
    <t>URIAGE (PUIG)</t>
  </si>
  <si>
    <t>URIAGE BEBE HYPOALERGENIC W 2X70/1FR BAG</t>
  </si>
  <si>
    <t>URIAGE BEBE HYPOALERGENIC W 70 BAG</t>
  </si>
  <si>
    <t>BEBECAN (RAMER KOZMETIK)</t>
  </si>
  <si>
    <t>BEBECAN EXTRASOFT PH5.5 ALC.FREE W 72BAG</t>
  </si>
  <si>
    <t>BIMBO &amp; BIMBA (REGINA TRADING LTD)</t>
  </si>
  <si>
    <t>BIMBO&amp;BIMBA CHAMOMILE&amp;ALOE W 80 BAG</t>
  </si>
  <si>
    <t>BIMBO&amp;BIMBA CHAMOMILE&amp;CALENDULA W 80 BAG</t>
  </si>
  <si>
    <t>BIMBO&amp;BIMBA CHAMOMILE&amp;LAVENDER W 80 BAG</t>
  </si>
  <si>
    <t>BIMBO&amp;BIMBA CHAMOMILE&amp;SMRADLIKA W 80 BAG</t>
  </si>
  <si>
    <t>VIBELLE (REGINA TRADING LTD)</t>
  </si>
  <si>
    <t>VIBELLE BABY RASPBERRY VIT E PH5.5 W 144</t>
  </si>
  <si>
    <t>144</t>
  </si>
  <si>
    <t>VIBELLE BABY ULTRA SENS.ROSE PH5.5 W 144</t>
  </si>
  <si>
    <t>BELUX (RENKSAN)</t>
  </si>
  <si>
    <t>BELUX BABY SENS.CREAM LOTION W 120 BAG</t>
  </si>
  <si>
    <t>BELUX ULTRA SENSITIVE W 120/48GRATIS BAG</t>
  </si>
  <si>
    <t>SECKIN (RENKSAN)</t>
  </si>
  <si>
    <t>SECKIN PROVITB5 PH5.5 ALC.FREE W 102 BAG</t>
  </si>
  <si>
    <t>SOFT CARE (SANO LTD)</t>
  </si>
  <si>
    <t>SOFT CARE COTTON VIT ECHAMOMILE W 72 BAG</t>
  </si>
  <si>
    <t>HOPS (SAPRO TEMIZLIK)</t>
  </si>
  <si>
    <t>HOPS P H5.5 W 90/18BONUS ORANJEVI BAG</t>
  </si>
  <si>
    <t>MAXIMENS (SARIHAN TEMIZLIK)</t>
  </si>
  <si>
    <t>MAXIMENS VIT E&amp;PRO VIT B5 W 72 BAG</t>
  </si>
  <si>
    <t>DOCTOR (SC EUROPACK MEDIA SRL)</t>
  </si>
  <si>
    <t>DOCTOR WIPES BABY GRAPES W 60 BAG KAPAK</t>
  </si>
  <si>
    <t>DOCTOR WIPES BABY W 72 BAG &amp;&amp;&amp;</t>
  </si>
  <si>
    <t>MEDPROFFESIONAL (SC EUROPACK MEDIA SRL)</t>
  </si>
  <si>
    <t>MEDPROFESSIONAL BABYPOWDERARGANOIL W 24</t>
  </si>
  <si>
    <t>MED PROFESSIONAL BABY ALOE VERA W 60 BAG</t>
  </si>
  <si>
    <t>MEDPROFESSIONAL BABYGRAPESEEDOIL W 60BAG</t>
  </si>
  <si>
    <t>SPRING LINE (SC EUROPACK MEDIA SRL)</t>
  </si>
  <si>
    <t>SPRINGLINE BABY COMPLEX5VITAMINS W 72BAG</t>
  </si>
  <si>
    <t>GIAN (SCK ZETA COMPANY)</t>
  </si>
  <si>
    <t>GIAN BABY CREAM PH5.5 W 120 BAG</t>
  </si>
  <si>
    <t>GIAN BABY CREAM PH5.5 W 72 BAG</t>
  </si>
  <si>
    <t>SEBAMED (SEBAPHARMA)</t>
  </si>
  <si>
    <t>SEBAMED BABYCLEANSING EXTRASOFT W 72 BAG</t>
  </si>
  <si>
    <t>SEBAMED BABY OIL WIPES W 70 BOX</t>
  </si>
  <si>
    <t>MAMMI (SEMA TREYD ODD)</t>
  </si>
  <si>
    <t>MAMMI PH5.5 ALC.FREE W 72 BAG SINI</t>
  </si>
  <si>
    <t>MAMMI PH5.5 ALC.FREE W 72 BAG ZELENI</t>
  </si>
  <si>
    <t>ASALI (SEPA MENSUCAT)</t>
  </si>
  <si>
    <t>ASALI BABY ULTRA SOFT VIT.E W 120 BAG</t>
  </si>
  <si>
    <t>COTTON SOFT (SEPA MENSUCAT)</t>
  </si>
  <si>
    <t>COTTON SOFT CHAMOMILE ALC.FREE W 100 BAG</t>
  </si>
  <si>
    <t>COTTON SOFT PH5.5 W 120 BAG KAPAK</t>
  </si>
  <si>
    <t>COTTON SOFT PH5.5 W 72 BAG KAPAK</t>
  </si>
  <si>
    <t>COTTON SOFT W 72 BAG</t>
  </si>
  <si>
    <t>ELVIM (SEPA MENSUCAT)</t>
  </si>
  <si>
    <t>ELVIM BABY JUMBO SENSITIVE W 120 BAG</t>
  </si>
  <si>
    <t>ELVIM ULTRA SENSITIVE VIT E&amp;B5 W 70 BAG</t>
  </si>
  <si>
    <t>ELVIM BABY PH5.5 ALC.FREE W 72 BAG</t>
  </si>
  <si>
    <t>ELVIM BABY ULTRASENSITIVE LOTION&amp;VITE 72</t>
  </si>
  <si>
    <t>ELVIM BABY ULTRASENSITIVE LOTION&amp;VITE 90</t>
  </si>
  <si>
    <t>FLAMINGO (SEPA MENSUCAT)</t>
  </si>
  <si>
    <t>FLAMINGO BABY ULTRASENS.LOTION&amp;VITE 70 B</t>
  </si>
  <si>
    <t>INCI (SEPA MENSUCAT)</t>
  </si>
  <si>
    <t>INCI FRESH VITE&amp;PROVITB5 ALC.FREE W 100</t>
  </si>
  <si>
    <t>INCI FRESH VITE&amp;PROVITB5 PH5.5 W 120 BAG</t>
  </si>
  <si>
    <t>INCI FRESH ULTRASOFT VITE&amp;PROVITB5 W 144</t>
  </si>
  <si>
    <t>INCI FRESH VITE&amp;PROVITB5 PH5.5 W 60 BAG</t>
  </si>
  <si>
    <t>INCI FRESH VITE&amp;PROVITB5 PH5.5 W 72 BAG</t>
  </si>
  <si>
    <t>INCI FRESH VITE&amp;PROVITB5 PH5.5 W 90/18FR</t>
  </si>
  <si>
    <t>SEPTONA (SEPTONA SA)</t>
  </si>
  <si>
    <t>SEPTONA CALM NCARE CHAMOM BABY 12 W BAG</t>
  </si>
  <si>
    <t>SEPTONA ALOE VERA BABY ALC.FREE 20 BAG</t>
  </si>
  <si>
    <t>SEPTONA CHAMOMILE BABY 20 W BAG</t>
  </si>
  <si>
    <t>SEPTONA SENSITIVE ALMOND&amp;MILK W 20 BAG</t>
  </si>
  <si>
    <t>SEPTONA SENSITIVE CALMN CARE W 54 BAG</t>
  </si>
  <si>
    <t>SEPTONA CALM NCARE PANTENOL W 57 BAG</t>
  </si>
  <si>
    <t>57</t>
  </si>
  <si>
    <t>SEPTONA ALOE VERA BABY 64 BAG</t>
  </si>
  <si>
    <t>SEPTONA CHAMOMILE BABY 3X64/1GR W BAG</t>
  </si>
  <si>
    <t>SEPTONA CHAMOMILE BABY 64 W BAG</t>
  </si>
  <si>
    <t>SEPTONA CHAMOMILE BABY 64 W BAG KAPAK</t>
  </si>
  <si>
    <t>SEPTONA SENSITIVE ALMOND&amp;MILK W 3X64/1FR</t>
  </si>
  <si>
    <t>SEPTONA SENSITIVE ALMOND&amp;MILK W 64 BAG</t>
  </si>
  <si>
    <t>SEPTONA SENSITIVE CALMN CARE W 64 BAG</t>
  </si>
  <si>
    <t>SEPTONA MILD FRAGANCE ALC.FREE W 72 BAG</t>
  </si>
  <si>
    <t>SEPTONA CALM NCARE PANTENOL W 75 BAG</t>
  </si>
  <si>
    <t>75</t>
  </si>
  <si>
    <t>SEPTONA CALMN CARE ALOE VERA W 80 BAG</t>
  </si>
  <si>
    <t>IASSMIN (SEVIMLER)</t>
  </si>
  <si>
    <t>IASSMIN BABY CREAM PH5.5 W 72 BAG</t>
  </si>
  <si>
    <t>JUNIOR &amp; TOMMY (SEVIMLER)</t>
  </si>
  <si>
    <t>JUNIOR&amp;TOMMY SENSITIVE W 120 BAG KAPAK</t>
  </si>
  <si>
    <t>JUNIOR&amp;TOMMY SENSITIVE W 72 BAG</t>
  </si>
  <si>
    <t>JUNIOR&amp;TOMMY SENSITIVE W 72 BAG KAPAK</t>
  </si>
  <si>
    <t>LADY FRESH (SEVIMLER)</t>
  </si>
  <si>
    <t>LADY FRESH BABY ALC.FREE W 105/5FREE</t>
  </si>
  <si>
    <t>NIK &amp; SI (SEVIMLER)</t>
  </si>
  <si>
    <t>NIK&amp;SI BABY PH5.5 W 72 BAG KAPAK</t>
  </si>
  <si>
    <t>NIKI (SEVIMLER )</t>
  </si>
  <si>
    <t>NIKI BABY ALC.FREE W 130/10FR BAG KAPAK</t>
  </si>
  <si>
    <t>PEPINO (SEVIMLER)</t>
  </si>
  <si>
    <t>PEPINO BABY P H5.5 W 120/20FREE BAG</t>
  </si>
  <si>
    <t>PEPINO BABY P H5.5 W 130/10FREE BAG</t>
  </si>
  <si>
    <t>PEPINO BABY SOFT&amp;LUX P H5.5 W 70 BAG</t>
  </si>
  <si>
    <t>RENKLI (SEVIMLER)</t>
  </si>
  <si>
    <t>RENKLI MAGIC P H5.5 W 120 BAG KAPAK</t>
  </si>
  <si>
    <t>RENKLI PREMIUM BABY ALC.FREE W 130 BAG</t>
  </si>
  <si>
    <t>130</t>
  </si>
  <si>
    <t>RENKLI BABY KIDS P H5.5 W 72 BAG</t>
  </si>
  <si>
    <t>RENKLI BABY KIDS P H5.5 W 72 BAG KAPAK</t>
  </si>
  <si>
    <t>RENKLI ZOO ANTIBACTERIAL W 72 BAG KAPAK</t>
  </si>
  <si>
    <t>RENKLI BABY LUX PH5.5 W 2X80 BAG</t>
  </si>
  <si>
    <t>RENKLI BABY LUX W 80 BAG KAPACHE</t>
  </si>
  <si>
    <t>SEMI (SEVIMLER)</t>
  </si>
  <si>
    <t>SEMI LOVESOFT BABY P.H5.5 W 72 KAPAK BAG</t>
  </si>
  <si>
    <t>SWEET (SEVIMLER)</t>
  </si>
  <si>
    <t>SWEET BABY ALOEVERA PH5.5 W 72 BAG KAPAK</t>
  </si>
  <si>
    <t>FARMACOTONE (SISMA S.P.A.)</t>
  </si>
  <si>
    <t>FARMACOTONE BEBE CALENDULA SENS. 60 BAG</t>
  </si>
  <si>
    <t>FARMACOTONE BIO ALOE&amp;ALMOND PH5.5 72 BAG</t>
  </si>
  <si>
    <t>VOI (SMILE COSMETICS)</t>
  </si>
  <si>
    <t>VOI MULTI VITAMINS PH5.5 W 100 BAG SINI</t>
  </si>
  <si>
    <t>VOI MULTIVITAMINS PH5.5 W 100 BAG PURPLE</t>
  </si>
  <si>
    <t>VOI CREAM LOTION PH5.5 W 120 BAG KAPAK</t>
  </si>
  <si>
    <t>VOI CHAMOMILE PH5.5 W 72 BAG KAPAK</t>
  </si>
  <si>
    <t>VOI CREAM LOTION PH5.5 W 72 BAG KAPAK</t>
  </si>
  <si>
    <t>NATURAVERDE (SO.DI.CO - SOCIETA DISTRIBU</t>
  </si>
  <si>
    <t>NATURAVERDE BIO AVENACAMMOMILA W 20 BAG</t>
  </si>
  <si>
    <t>NATURAVERDE BIO AVENACAMMOMILA W 72 BAG</t>
  </si>
  <si>
    <t>TOVA (STANQUEEN INVESTMENT)</t>
  </si>
  <si>
    <t>ALVESTA (SWORDSON LTD)</t>
  </si>
  <si>
    <t>ALVESTA BABY PH5.5 W 120 BAG KAPAK</t>
  </si>
  <si>
    <t>ALVESTA BABY PH5.5 W 72 BAG KAPAK</t>
  </si>
  <si>
    <t>MIS MAK (SWORDSON LTD)</t>
  </si>
  <si>
    <t>MIS MAK CLEANSE&amp;REFRESH PH5.5 W 72 BAG</t>
  </si>
  <si>
    <t>BIVY (TAHA KIMYA KOZMETIK)</t>
  </si>
  <si>
    <t>BIVY BABY NEWBORN W 60 BAG KAPAK</t>
  </si>
  <si>
    <t>BIVY SOFT&amp;FRESH PROVITB5&amp;VITE W 72 BAG</t>
  </si>
  <si>
    <t>DAISY (TEKSAN)</t>
  </si>
  <si>
    <t>DAISY BABY WET WIPES W 120 BAG</t>
  </si>
  <si>
    <t>BEBECAN (TNCR GIDA)</t>
  </si>
  <si>
    <t>BEBECAN PH5.5 W 72 BAG TNCR GIDA KAPAK</t>
  </si>
  <si>
    <t>HUGO BABY (TRUVA KOZMETIK)</t>
  </si>
  <si>
    <t>HUGO BABY ALC.FREE W 120 BAG</t>
  </si>
  <si>
    <t>PROSOFT (TRUVA KOZMETIK TIC)</t>
  </si>
  <si>
    <t>PROSOFT VITE&amp;PROVITB5 W 72 BAG CHERVENI</t>
  </si>
  <si>
    <t>PROSOFT VITE&amp;PROVITB5 W 72 BAG ZELENI</t>
  </si>
  <si>
    <t>BAMBINO (ULTRA COSMETICS)</t>
  </si>
  <si>
    <t>BAMBINO SENS.ALOE&amp;OLIVE ALC.FREE W100BAG</t>
  </si>
  <si>
    <t>UNAC (UNAC GROUP KOZMETIK SAN.)</t>
  </si>
  <si>
    <t>UNAC BABY LOTION&amp;VIT.E AL.FREE W 120 BAG</t>
  </si>
  <si>
    <t>DOVE (UNILEVER)</t>
  </si>
  <si>
    <t>DOVE BABY RICHMOISTURE ALC.FREE W 50 BAG</t>
  </si>
  <si>
    <t>DOVE BABY SENSITIVE MOISTURE W 50 BAG</t>
  </si>
  <si>
    <t>BEBECAN (YESIL ILGAZ)</t>
  </si>
  <si>
    <t>BEBECAN BABY PH5.5 W 72 BAG YESIL</t>
  </si>
  <si>
    <t>YTD 24</t>
  </si>
  <si>
    <t xml:space="preserve"> FreshClean</t>
  </si>
  <si>
    <t xml:space="preserve"> Nova Garbagnate</t>
  </si>
  <si>
    <t xml:space="preserve"> BeneCare</t>
  </si>
  <si>
    <t xml:space="preserve"> VigaLife</t>
  </si>
  <si>
    <t xml:space="preserve"> Intelligent Initiative</t>
  </si>
  <si>
    <t xml:space="preserve"> BroadLeaf Group</t>
  </si>
  <si>
    <t xml:space="preserve"> ArborChemistry</t>
  </si>
  <si>
    <t xml:space="preserve"> ArkPapers</t>
  </si>
  <si>
    <t xml:space="preserve"> Arkana PaperCraft</t>
  </si>
  <si>
    <t xml:space="preserve"> Fragrantium S.A.</t>
  </si>
  <si>
    <t xml:space="preserve"> ArsenicChem</t>
  </si>
  <si>
    <t xml:space="preserve"> Creativa Worldwide</t>
  </si>
  <si>
    <t xml:space="preserve"> CultureSana</t>
  </si>
  <si>
    <t xml:space="preserve"> Ataman Industries</t>
  </si>
  <si>
    <t xml:space="preserve"> AxisOn Group</t>
  </si>
  <si>
    <t xml:space="preserve"> PureAim Cleaners</t>
  </si>
  <si>
    <t xml:space="preserve"> AlpineMeadow</t>
  </si>
  <si>
    <t xml:space="preserve"> BioRealm Corp</t>
  </si>
  <si>
    <t xml:space="preserve"> BurdenCo</t>
  </si>
  <si>
    <t xml:space="preserve"> TradeKing Cengiz</t>
  </si>
  <si>
    <t xml:space="preserve"> ClearSight</t>
  </si>
  <si>
    <t xml:space="preserve"> CodeInt B.V.</t>
  </si>
  <si>
    <t xml:space="preserve"> ChillClean</t>
  </si>
  <si>
    <t xml:space="preserve"> Cosmopolitan Italy</t>
  </si>
  <si>
    <t xml:space="preserve"> CottonUnion</t>
  </si>
  <si>
    <t xml:space="preserve"> EastChem</t>
  </si>
  <si>
    <t xml:space="preserve"> EnkaHygiene</t>
  </si>
  <si>
    <t xml:space="preserve"> ErusHealth Products</t>
  </si>
  <si>
    <t xml:space="preserve"> Esburg Health</t>
  </si>
  <si>
    <t xml:space="preserve"> SCProducts</t>
  </si>
  <si>
    <t xml:space="preserve"> EssentialsCo</t>
  </si>
  <si>
    <t xml:space="preserve"> EveCraft</t>
  </si>
  <si>
    <t xml:space="preserve"> FemmeBeauty</t>
  </si>
  <si>
    <t xml:space="preserve"> Fulya Beauty</t>
  </si>
  <si>
    <t xml:space="preserve"> Grace Corp</t>
  </si>
  <si>
    <t xml:space="preserve"> SouthernGroup SP</t>
  </si>
  <si>
    <t xml:space="preserve"> AvellinoGroup SRL</t>
  </si>
  <si>
    <t xml:space="preserve"> RoseBeauty</t>
  </si>
  <si>
    <t xml:space="preserve"> CleanHarper</t>
  </si>
  <si>
    <t xml:space="preserve"> LifeChem</t>
  </si>
  <si>
    <t xml:space="preserve"> MountainMedicine</t>
  </si>
  <si>
    <t xml:space="preserve"> Swift GMBH</t>
  </si>
  <si>
    <t xml:space="preserve"> InsideGlobal</t>
  </si>
  <si>
    <t xml:space="preserve"> CelticWind Ltd</t>
  </si>
  <si>
    <t xml:space="preserve"> JellyHealth</t>
  </si>
  <si>
    <t xml:space="preserve"> Thomson &amp; Thomson</t>
  </si>
  <si>
    <t xml:space="preserve"> KalesCo</t>
  </si>
  <si>
    <t xml:space="preserve"> Kantara Productions Distribution</t>
  </si>
  <si>
    <t xml:space="preserve"> CapPlus</t>
  </si>
  <si>
    <t xml:space="preserve"> BrothersFlyProducts SAN A.S.</t>
  </si>
  <si>
    <t xml:space="preserve"> Snowball Cologne</t>
  </si>
  <si>
    <t xml:space="preserve"> Kimberly Stone</t>
  </si>
  <si>
    <t xml:space="preserve"> OliveTree S.A.</t>
  </si>
  <si>
    <t xml:space="preserve"> CosmicChem</t>
  </si>
  <si>
    <t xml:space="preserve"> LabExpand</t>
  </si>
  <si>
    <t xml:space="preserve"> LansinLab Inc</t>
  </si>
  <si>
    <t xml:space="preserve"> Lara Beauty</t>
  </si>
  <si>
    <t xml:space="preserve"> LeaderHealthFood</t>
  </si>
  <si>
    <t xml:space="preserve"> GlobalMap</t>
  </si>
  <si>
    <t xml:space="preserve"> PrimeBrands Marketing B.V.</t>
  </si>
  <si>
    <t xml:space="preserve"> Giga S.A.</t>
  </si>
  <si>
    <t xml:space="preserve"> Miss Health Co.</t>
  </si>
  <si>
    <t xml:space="preserve"> MontraWorld</t>
  </si>
  <si>
    <t xml:space="preserve"> Moratex Group / Tobi MegaGroup LTD</t>
  </si>
  <si>
    <t xml:space="preserve"> MoreBeauty</t>
  </si>
  <si>
    <t xml:space="preserve"> NaturalCo AB</t>
  </si>
  <si>
    <t xml:space="preserve"> Voyage Turkey</t>
  </si>
  <si>
    <t xml:space="preserve"> Nur Food Industry</t>
  </si>
  <si>
    <t xml:space="preserve"> O-Package S.R.L.</t>
  </si>
  <si>
    <t xml:space="preserve"> OnTop</t>
  </si>
  <si>
    <t xml:space="preserve"> OzFoodMakers A.S.</t>
  </si>
  <si>
    <t xml:space="preserve"> CrescentTextile SAN</t>
  </si>
  <si>
    <t xml:space="preserve"> PakChem</t>
  </si>
  <si>
    <t xml:space="preserve"> Daisy Cotton Cosmetics</t>
  </si>
  <si>
    <t xml:space="preserve"> IdealGroup</t>
  </si>
  <si>
    <t xml:space="preserve"> PhoenixMedicine DOO</t>
  </si>
  <si>
    <t xml:space="preserve"> FabreStone</t>
  </si>
  <si>
    <t xml:space="preserve"> Pyramid72 DOO</t>
  </si>
  <si>
    <t xml:space="preserve"> PreDone</t>
  </si>
  <si>
    <t xml:space="preserve"> ProStart 97</t>
  </si>
  <si>
    <t xml:space="preserve"> Proctor &amp; Wager</t>
  </si>
  <si>
    <t xml:space="preserve"> PuigPeak</t>
  </si>
  <si>
    <t xml:space="preserve"> RameBeauty</t>
  </si>
  <si>
    <t xml:space="preserve"> QueenTrade LTD</t>
  </si>
  <si>
    <t xml:space="preserve"> ColorSan</t>
  </si>
  <si>
    <t xml:space="preserve"> SanHealth LTD</t>
  </si>
  <si>
    <t xml:space="preserve"> SaproClean</t>
  </si>
  <si>
    <t xml:space="preserve"> YellowHand Cleaners</t>
  </si>
  <si>
    <t xml:space="preserve"> EuroPack Communications SRL</t>
  </si>
  <si>
    <t xml:space="preserve"> SigmaKappaZeta Co.</t>
  </si>
  <si>
    <t xml:space="preserve"> SebaMedicines</t>
  </si>
  <si>
    <t xml:space="preserve"> SignalTrade</t>
  </si>
  <si>
    <t xml:space="preserve"> SepaTextiles</t>
  </si>
  <si>
    <t xml:space="preserve"> SeptOn SA</t>
  </si>
  <si>
    <t xml:space="preserve"> LovelyCo</t>
  </si>
  <si>
    <t xml:space="preserve"> Quake S.P.A.</t>
  </si>
  <si>
    <t xml:space="preserve"> HappyBeauty A.S.</t>
  </si>
  <si>
    <t xml:space="preserve"> So.Di.Co - Cosmetics Distribution Society</t>
  </si>
  <si>
    <t xml:space="preserve"> QueenStand Investment</t>
  </si>
  <si>
    <t xml:space="preserve"> BladeSon LTD</t>
  </si>
  <si>
    <t xml:space="preserve"> TahaChem Cosmetics</t>
  </si>
  <si>
    <t xml:space="preserve"> TextileSan</t>
  </si>
  <si>
    <t xml:space="preserve"> FoodTNCR</t>
  </si>
  <si>
    <t xml:space="preserve"> TroyBeauty Trade</t>
  </si>
  <si>
    <t xml:space="preserve"> MegaBeauty</t>
  </si>
  <si>
    <t xml:space="preserve"> Unac Beauty Makers SAN.</t>
  </si>
  <si>
    <t xml:space="preserve"> UniHandle</t>
  </si>
  <si>
    <t xml:space="preserve"> GreenIlgaz Group</t>
  </si>
  <si>
    <t>OKIDOKI  FreshClean CAMOMILLA 60 BAG</t>
  </si>
  <si>
    <t>SLEEPY  FreshClean 90 W BAG KAPAK</t>
  </si>
  <si>
    <t>LIOLA  FreshClean ALC.FREE W 72 BAG</t>
  </si>
  <si>
    <t>PAW PATROL  FreshClean 56 W BAG</t>
  </si>
  <si>
    <t>HUGGIES  FreshClean CUCUMBER W 24 BAG</t>
  </si>
  <si>
    <t>KOPRINA  FreshClean 72 W BAG KAPAK</t>
  </si>
  <si>
    <t>PRIMA  FreshClean ALOE W 64 BAG</t>
  </si>
  <si>
    <t>SPRING LINE  FreshClean W 120 BAG &amp;&amp;&amp;</t>
  </si>
  <si>
    <t>TOVA  FreshClean PH5.5 W 120 BAG</t>
  </si>
  <si>
    <t>BABY 2000 (Nova Garbagnate)</t>
  </si>
  <si>
    <t>BAMBO (BeneCare)</t>
  </si>
  <si>
    <t>BABY CREMA (VigaLife)</t>
  </si>
  <si>
    <t>LINDY (Intelligent Initiative)</t>
  </si>
  <si>
    <t>LUBA (BroadLeaf Group)</t>
  </si>
  <si>
    <t>NIVEA (AlpineMeadow)</t>
  </si>
  <si>
    <t>HUGGLO (ArborChemistry)</t>
  </si>
  <si>
    <t>PAPILION (ArkPapers)</t>
  </si>
  <si>
    <t>HONEY BEBISH (Arkana PaperCraft)</t>
  </si>
  <si>
    <t>PINE (Arkana PaperCraft)</t>
  </si>
  <si>
    <t>TROMPY (Fragrantium S.A.)</t>
  </si>
  <si>
    <t>HAPPY FRESH (ArsenicChem)</t>
  </si>
  <si>
    <t>ULTRA COMPACT (ArsenicChem)</t>
  </si>
  <si>
    <t>KANZ ( Creativa Worldwide)</t>
  </si>
  <si>
    <t>CHICCO (CultureSana)</t>
  </si>
  <si>
    <t>UNI (Ataman Industries)</t>
  </si>
  <si>
    <t>EVENT (AxisOn Group)</t>
  </si>
  <si>
    <t>TEX (PureAim Cleaners)</t>
  </si>
  <si>
    <t>SOFTLINE (BurdenCo)</t>
  </si>
  <si>
    <t>BABY CARE (TradeKing Cengiz)</t>
  </si>
  <si>
    <t>ClearSight (ClearSight)</t>
  </si>
  <si>
    <t>ClearSight BABY ALOE VERA PH5.5 W 25 BAG</t>
  </si>
  <si>
    <t>ClearSight BABY CALENDULA PH5.5 W 25 BAG</t>
  </si>
  <si>
    <t>ClearSight BABY CHAMOMILE PH5.5 W 25 BAG</t>
  </si>
  <si>
    <t>ClearSight BABY CHAMOMILE PH5.5 W 66 BAG</t>
  </si>
  <si>
    <t>ClearSight BABY ALOE VERA PH5.5 W 80 BAG</t>
  </si>
  <si>
    <t>ClearSight BABY CALENDULA PH5.5 W 80 BAG</t>
  </si>
  <si>
    <t>ClearSight BABY CHAMOMILE PH5.5 W 80 BAG</t>
  </si>
  <si>
    <t>OKIDOKI (CodeInt B.V.)</t>
  </si>
  <si>
    <t>BABY WISH (ChillClean)</t>
  </si>
  <si>
    <t>AQUELLA ( CottonUnion)</t>
  </si>
  <si>
    <t>AURA ( CottonUnion)</t>
  </si>
  <si>
    <t>COTTON BABY ( CottonUnion)</t>
  </si>
  <si>
    <t>MIMI ( CottonUnion)</t>
  </si>
  <si>
    <t>MY COMFORT ( CottonUnion)</t>
  </si>
  <si>
    <t>NICE BABY ( CottonUnion)</t>
  </si>
  <si>
    <t>WINEX ( CottonUnion)</t>
  </si>
  <si>
    <t>FOMEX (EastChem)</t>
  </si>
  <si>
    <t>PURE ( ErusHealth Products)</t>
  </si>
  <si>
    <t>SLEEPY ( ErusHealth Products)</t>
  </si>
  <si>
    <t>ELAN (Esburg Health)</t>
  </si>
  <si>
    <t>SETABLU (SCProducts)</t>
  </si>
  <si>
    <t>EVY BABY (EveCraft)</t>
  </si>
  <si>
    <t>2022 Value</t>
  </si>
  <si>
    <t>2023 Value</t>
  </si>
  <si>
    <t>YTD 24 Value</t>
  </si>
  <si>
    <t>2022 Volume</t>
  </si>
  <si>
    <t>2023 Volume</t>
  </si>
  <si>
    <t>YTD 24 Volume</t>
  </si>
  <si>
    <t>Manufacturer</t>
  </si>
  <si>
    <t>Brand</t>
  </si>
  <si>
    <t>Product Description</t>
  </si>
  <si>
    <t>Package</t>
  </si>
  <si>
    <t>Product Attributes</t>
  </si>
  <si>
    <t>Size</t>
  </si>
  <si>
    <t>BABY2000</t>
  </si>
  <si>
    <t>BAMBO NATURE</t>
  </si>
  <si>
    <t xml:space="preserve">BABY CREMA </t>
  </si>
  <si>
    <t xml:space="preserve">LINDY </t>
  </si>
  <si>
    <t>LUBA BABY</t>
  </si>
  <si>
    <t xml:space="preserve">HUGGLO </t>
  </si>
  <si>
    <t xml:space="preserve">PAPILION </t>
  </si>
  <si>
    <t xml:space="preserve">PINE </t>
  </si>
  <si>
    <t xml:space="preserve">TROMPY </t>
  </si>
  <si>
    <t xml:space="preserve">HAPPY FRESH </t>
  </si>
  <si>
    <t xml:space="preserve">ULTRA COMPACT </t>
  </si>
  <si>
    <t>KANZ</t>
  </si>
  <si>
    <t xml:space="preserve">CHICCO </t>
  </si>
  <si>
    <t xml:space="preserve">UNI </t>
  </si>
  <si>
    <t>EVENT BABY</t>
  </si>
  <si>
    <t>TEX BABY</t>
  </si>
  <si>
    <t>NIVEA BABY</t>
  </si>
  <si>
    <t xml:space="preserve">SMILE </t>
  </si>
  <si>
    <t>BABYCARE</t>
  </si>
  <si>
    <t>CLEAR SIGHT</t>
  </si>
  <si>
    <t xml:space="preserve">OKIDOKI </t>
  </si>
  <si>
    <t xml:space="preserve">BABY WISH </t>
  </si>
  <si>
    <t xml:space="preserve">AQUELLA </t>
  </si>
  <si>
    <t xml:space="preserve">AURA </t>
  </si>
  <si>
    <t xml:space="preserve">COTTON BABY </t>
  </si>
  <si>
    <t>MIMI NICE</t>
  </si>
  <si>
    <t xml:space="preserve">MY COMFORT </t>
  </si>
  <si>
    <t xml:space="preserve">NICE BABY </t>
  </si>
  <si>
    <t xml:space="preserve">WINEX </t>
  </si>
  <si>
    <t xml:space="preserve">PADDLERS </t>
  </si>
  <si>
    <t>PURE BABY</t>
  </si>
  <si>
    <t>SLEEPY BABY</t>
  </si>
  <si>
    <t xml:space="preserve">YESS BABY </t>
  </si>
  <si>
    <t xml:space="preserve">ELAN </t>
  </si>
  <si>
    <t xml:space="preserve">SETABLU </t>
  </si>
  <si>
    <t xml:space="preserve">LIBERO </t>
  </si>
  <si>
    <t xml:space="preserve">EVY BABY </t>
  </si>
  <si>
    <t xml:space="preserve">FEMOLE </t>
  </si>
  <si>
    <t xml:space="preserve">BERFINY </t>
  </si>
  <si>
    <t xml:space="preserve">FRESH RUNY </t>
  </si>
  <si>
    <t>FRESH MAKER</t>
  </si>
  <si>
    <t>HAPPY ALOE VERA</t>
  </si>
  <si>
    <t>KIDS BABY</t>
  </si>
  <si>
    <t xml:space="preserve">LIO FRESH </t>
  </si>
  <si>
    <t xml:space="preserve">NEMDIL </t>
  </si>
  <si>
    <t>PREMIUM QUALITY BABY</t>
  </si>
  <si>
    <t xml:space="preserve">NAPEEZ BY GRACIA </t>
  </si>
  <si>
    <t xml:space="preserve">MIKE LINE </t>
  </si>
  <si>
    <t>PRIME TALKO</t>
  </si>
  <si>
    <t xml:space="preserve">PONKY </t>
  </si>
  <si>
    <t xml:space="preserve">POZZY </t>
  </si>
  <si>
    <t xml:space="preserve">CLEANIC </t>
  </si>
  <si>
    <t xml:space="preserve">PETINO </t>
  </si>
  <si>
    <t xml:space="preserve">MOLFIX </t>
  </si>
  <si>
    <t xml:space="preserve">HIMALAYA </t>
  </si>
  <si>
    <t>HIPP BABYSANFT</t>
  </si>
  <si>
    <t xml:space="preserve">BIONIKE </t>
  </si>
  <si>
    <t xml:space="preserve">WATER WIPES </t>
  </si>
  <si>
    <t xml:space="preserve">PAW PATROL </t>
  </si>
  <si>
    <t xml:space="preserve">PEPPA PIG </t>
  </si>
  <si>
    <t xml:space="preserve">JOHNSONS </t>
  </si>
  <si>
    <t xml:space="preserve">MAIA </t>
  </si>
  <si>
    <t xml:space="preserve">KRISPA </t>
  </si>
  <si>
    <t>FRESH'N SOFT</t>
  </si>
  <si>
    <t>RENKLY</t>
  </si>
  <si>
    <t xml:space="preserve">HUGGIES </t>
  </si>
  <si>
    <t xml:space="preserve">KOMILI </t>
  </si>
  <si>
    <t xml:space="preserve">TANGO </t>
  </si>
  <si>
    <t xml:space="preserve">MUSTELA </t>
  </si>
  <si>
    <t xml:space="preserve">LANSINOH </t>
  </si>
  <si>
    <t>LARA BABY</t>
  </si>
  <si>
    <t xml:space="preserve">PUFY </t>
  </si>
  <si>
    <t xml:space="preserve">TOP BLITZ </t>
  </si>
  <si>
    <t xml:space="preserve">CONFY </t>
  </si>
  <si>
    <t xml:space="preserve">MIMOSA </t>
  </si>
  <si>
    <t>SENCE BABY</t>
  </si>
  <si>
    <t xml:space="preserve">BABY CARE </t>
  </si>
  <si>
    <t>BABY LINO</t>
  </si>
  <si>
    <t xml:space="preserve">L'UNICO </t>
  </si>
  <si>
    <t xml:space="preserve">BIG SOFT </t>
  </si>
  <si>
    <t>HAPPY FAMILY</t>
  </si>
  <si>
    <t xml:space="preserve">MORS </t>
  </si>
  <si>
    <t xml:space="preserve">WIPEST </t>
  </si>
  <si>
    <t xml:space="preserve">NATY </t>
  </si>
  <si>
    <t xml:space="preserve">FRESH BABY </t>
  </si>
  <si>
    <t xml:space="preserve">GOLDEN </t>
  </si>
  <si>
    <t xml:space="preserve">MY FIX </t>
  </si>
  <si>
    <t xml:space="preserve">PUFFY </t>
  </si>
  <si>
    <t xml:space="preserve">TITO </t>
  </si>
  <si>
    <t>PUFY BABY</t>
  </si>
  <si>
    <t xml:space="preserve">SPEEDY CARE </t>
  </si>
  <si>
    <t xml:space="preserve">CAN BEBE </t>
  </si>
  <si>
    <t xml:space="preserve">KOPRINA </t>
  </si>
  <si>
    <t xml:space="preserve">BEBIKO </t>
  </si>
  <si>
    <t xml:space="preserve">PAPATYA </t>
  </si>
  <si>
    <t xml:space="preserve">PERFETTO </t>
  </si>
  <si>
    <t xml:space="preserve">BETTY </t>
  </si>
  <si>
    <t xml:space="preserve">KLORANE </t>
  </si>
  <si>
    <t xml:space="preserve">SLIPP </t>
  </si>
  <si>
    <t xml:space="preserve">MELANI </t>
  </si>
  <si>
    <t>PAMPERS</t>
  </si>
  <si>
    <t xml:space="preserve">PRIMA </t>
  </si>
  <si>
    <t xml:space="preserve">URIAGE </t>
  </si>
  <si>
    <t xml:space="preserve">BIMBO &amp; BIMBA </t>
  </si>
  <si>
    <t xml:space="preserve">VIBELLE </t>
  </si>
  <si>
    <t xml:space="preserve">BELUX </t>
  </si>
  <si>
    <t xml:space="preserve">SECKIN </t>
  </si>
  <si>
    <t xml:space="preserve">SOFT CARE </t>
  </si>
  <si>
    <t xml:space="preserve">HOPS </t>
  </si>
  <si>
    <t>DOCTOR WIPES</t>
  </si>
  <si>
    <t xml:space="preserve">MEDPROFFESIONAL </t>
  </si>
  <si>
    <t xml:space="preserve">SPRING LINE </t>
  </si>
  <si>
    <t xml:space="preserve">GIAN </t>
  </si>
  <si>
    <t xml:space="preserve">SEBAMED </t>
  </si>
  <si>
    <t xml:space="preserve">MAMMI </t>
  </si>
  <si>
    <t xml:space="preserve">ASALI </t>
  </si>
  <si>
    <t xml:space="preserve">COTTON SOFT </t>
  </si>
  <si>
    <t xml:space="preserve">ELVIM </t>
  </si>
  <si>
    <t xml:space="preserve">FLAMINGO </t>
  </si>
  <si>
    <t>INCI FRESH</t>
  </si>
  <si>
    <t xml:space="preserve">SEPTONA </t>
  </si>
  <si>
    <t xml:space="preserve">IASSMIN </t>
  </si>
  <si>
    <t xml:space="preserve">JUNIOR &amp; TOMMY </t>
  </si>
  <si>
    <t xml:space="preserve">NIKI </t>
  </si>
  <si>
    <t xml:space="preserve">PEPINO </t>
  </si>
  <si>
    <t xml:space="preserve">RENKLI </t>
  </si>
  <si>
    <t>SWEET  BABY</t>
  </si>
  <si>
    <t xml:space="preserve">FARMACOTONE </t>
  </si>
  <si>
    <t xml:space="preserve">VOI </t>
  </si>
  <si>
    <t xml:space="preserve">TOVA </t>
  </si>
  <si>
    <t xml:space="preserve">ALVESTA </t>
  </si>
  <si>
    <t xml:space="preserve">MIS MAK </t>
  </si>
  <si>
    <t>BIVY</t>
  </si>
  <si>
    <t xml:space="preserve">DAISY </t>
  </si>
  <si>
    <t xml:space="preserve">BEBECAN </t>
  </si>
  <si>
    <t xml:space="preserve">HUGO BABY </t>
  </si>
  <si>
    <t xml:space="preserve">PROSOFT </t>
  </si>
  <si>
    <t xml:space="preserve">UNAC </t>
  </si>
  <si>
    <t xml:space="preserve">DOVE </t>
  </si>
  <si>
    <t>Row Labels</t>
  </si>
  <si>
    <t>Grand Total</t>
  </si>
  <si>
    <t>Sum of 2022 Value</t>
  </si>
  <si>
    <t>Sum of 2023 Value</t>
  </si>
  <si>
    <t>Sum of YTD 24 Value</t>
  </si>
  <si>
    <t>Sum of 2022 Volume</t>
  </si>
  <si>
    <t>Sum of 2023 Volume</t>
  </si>
  <si>
    <t>Sum of YTD 24 Volume</t>
  </si>
  <si>
    <t>in 000s</t>
  </si>
  <si>
    <t>Average price</t>
  </si>
  <si>
    <t>Value</t>
  </si>
  <si>
    <t>Volume</t>
  </si>
  <si>
    <t>Total</t>
  </si>
  <si>
    <t>YOY Growth 2022-2023%</t>
  </si>
  <si>
    <t>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</si>
</sst>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9" formatCode="#,##0.0_);\(#,##0.0\)"/>
    <numFmt numFmtId="170" formatCode="0.0%"/>
  </numFmts>
  <fonts count="14" x14ac:knownFonts="1">
    <font>
      <sz val="11"/>
      <color theme="1"/>
      <name val="Calibri"/>
      <family val="2"/>
      <scheme val="minor"/>
    </font>
    <font>
      <sz val="11"/>
      <color theme="0"/>
      <name val="Calibri"/>
      <family val="2"/>
      <scheme val="minor"/>
    </font>
    <font>
      <b/>
      <sz val="10"/>
      <color theme="0"/>
      <name val="Arial"/>
      <family val="2"/>
    </font>
    <font>
      <b/>
      <sz val="10"/>
      <color rgb="FF000000"/>
      <name val="Arial"/>
      <family val="2"/>
      <charset val="204"/>
    </font>
    <font>
      <sz val="10"/>
      <color theme="0"/>
      <name val="Arial"/>
      <family val="2"/>
    </font>
    <font>
      <b/>
      <sz val="10"/>
      <color rgb="FF000000"/>
      <name val="Arial"/>
      <family val="2"/>
    </font>
    <font>
      <sz val="10"/>
      <color rgb="FF000000"/>
      <name val="Arial"/>
      <family val="2"/>
    </font>
    <font>
      <i/>
      <sz val="10"/>
      <color rgb="FF000000"/>
      <name val="Arial"/>
      <family val="2"/>
    </font>
    <font>
      <sz val="11"/>
      <color theme="1"/>
      <name val="Calibri"/>
      <family val="2"/>
      <scheme val="minor"/>
    </font>
    <font>
      <b/>
      <sz val="10"/>
      <color theme="1"/>
      <name val="Arial"/>
      <family val="2"/>
    </font>
    <font>
      <sz val="10"/>
      <color theme="1"/>
      <name val="Arial"/>
      <family val="2"/>
    </font>
    <font>
      <b/>
      <sz val="12"/>
      <color theme="1"/>
      <name val="Arial"/>
      <family val="2"/>
    </font>
    <font>
      <sz val="9"/>
      <color theme="1"/>
      <name val="Arial"/>
      <family val="2"/>
    </font>
    <font>
      <b/>
      <sz val="12"/>
      <color theme="0"/>
      <name val="Arial"/>
      <family val="2"/>
    </font>
  </fonts>
  <fills count="7">
    <fill>
      <patternFill patternType="none"/>
    </fill>
    <fill>
      <patternFill patternType="gray125"/>
    </fill>
    <fill>
      <patternFill patternType="solid">
        <fgColor rgb="FFFFFFFF"/>
        <bgColor indexed="64"/>
      </patternFill>
    </fill>
    <fill>
      <patternFill patternType="solid">
        <fgColor theme="8"/>
        <bgColor indexed="64"/>
      </patternFill>
    </fill>
    <fill>
      <patternFill patternType="solid">
        <fgColor theme="0"/>
        <bgColor indexed="64"/>
      </patternFill>
    </fill>
    <fill>
      <patternFill patternType="solid">
        <fgColor theme="0" tint="-4.9989318521683403E-2"/>
        <bgColor indexed="64"/>
      </patternFill>
    </fill>
    <fill>
      <patternFill patternType="solid">
        <fgColor rgb="FF0070C0"/>
        <bgColor indexed="64"/>
      </patternFill>
    </fill>
  </fills>
  <borders count="21">
    <border>
      <left/>
      <right/>
      <top/>
      <bottom/>
      <diagonal/>
    </border>
    <border>
      <left style="thin">
        <color theme="0"/>
      </left>
      <right/>
      <top/>
      <bottom/>
      <diagonal/>
    </border>
    <border>
      <left style="medium">
        <color indexed="64"/>
      </left>
      <right/>
      <top/>
      <bottom/>
      <diagonal/>
    </border>
    <border>
      <left style="thin">
        <color theme="0"/>
      </left>
      <right/>
      <top/>
      <bottom style="thin">
        <color rgb="FFDCDCDC"/>
      </bottom>
      <diagonal/>
    </border>
    <border>
      <left/>
      <right/>
      <top/>
      <bottom style="thin">
        <color rgb="FFDCDCD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medium">
        <color indexed="64"/>
      </left>
      <right style="thin">
        <color rgb="FFDCDCDC"/>
      </right>
      <top/>
      <bottom style="thin">
        <color rgb="FFDCDCDC"/>
      </bottom>
      <diagonal/>
    </border>
    <border>
      <left/>
      <right style="thin">
        <color rgb="FFDCDCDC"/>
      </right>
      <top/>
      <bottom style="thin">
        <color rgb="FFDCDCDC"/>
      </bottom>
      <diagonal/>
    </border>
    <border>
      <left style="thin">
        <color rgb="FFDCDCDC"/>
      </left>
      <right style="thin">
        <color rgb="FFDCDCDC"/>
      </right>
      <top/>
      <bottom style="thin">
        <color rgb="FFDCDCDC"/>
      </bottom>
      <diagonal/>
    </border>
    <border>
      <left style="thin">
        <color indexed="64"/>
      </left>
      <right style="thin">
        <color rgb="FFDCDCDC"/>
      </right>
      <top/>
      <bottom style="thin">
        <color rgb="FFDCDCDC"/>
      </bottom>
      <diagonal/>
    </border>
    <border>
      <left style="medium">
        <color indexed="64"/>
      </left>
      <right style="thin">
        <color rgb="FFDCDCDC"/>
      </right>
      <top style="thin">
        <color rgb="FFDCDCDC"/>
      </top>
      <bottom style="thin">
        <color rgb="FFDCDCDC"/>
      </bottom>
      <diagonal/>
    </border>
    <border>
      <left/>
      <right style="thin">
        <color rgb="FFDCDCDC"/>
      </right>
      <top style="thin">
        <color rgb="FFDCDCDC"/>
      </top>
      <bottom style="thin">
        <color rgb="FFDCDCDC"/>
      </bottom>
      <diagonal/>
    </border>
    <border>
      <left style="thin">
        <color indexed="64"/>
      </left>
      <right style="thin">
        <color rgb="FFDCDCDC"/>
      </right>
      <top style="thin">
        <color rgb="FFDCDCDC"/>
      </top>
      <bottom style="thin">
        <color rgb="FFDCDCDC"/>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medium">
        <color indexed="64"/>
      </bottom>
      <diagonal/>
    </border>
  </borders>
  <cellStyleXfs count="2">
    <xf numFmtId="0" fontId="0" fillId="0" borderId="0"/>
    <xf numFmtId="9" fontId="8" fillId="0" borderId="0" applyFont="0" applyFill="0" applyBorder="0" applyAlignment="0" applyProtection="0"/>
  </cellStyleXfs>
  <cellXfs count="57">
    <xf numFmtId="0" fontId="0" fillId="0" borderId="0" xfId="0"/>
    <xf numFmtId="0" fontId="1" fillId="0" borderId="0" xfId="0" applyFont="1"/>
    <xf numFmtId="164" fontId="3" fillId="2" borderId="5" xfId="0" applyNumberFormat="1" applyFont="1" applyFill="1" applyBorder="1" applyAlignment="1">
      <alignment horizontal="center" wrapText="1"/>
    </xf>
    <xf numFmtId="164" fontId="3" fillId="2" borderId="6" xfId="0" applyNumberFormat="1" applyFont="1" applyFill="1" applyBorder="1" applyAlignment="1">
      <alignment horizontal="center" wrapText="1"/>
    </xf>
    <xf numFmtId="49" fontId="2" fillId="3" borderId="7" xfId="0" applyNumberFormat="1" applyFont="1" applyFill="1" applyBorder="1" applyAlignment="1">
      <alignment horizontal="left" wrapText="1"/>
    </xf>
    <xf numFmtId="49" fontId="2" fillId="3" borderId="8" xfId="0" applyNumberFormat="1" applyFont="1" applyFill="1" applyBorder="1" applyAlignment="1">
      <alignment horizontal="left" wrapText="1"/>
    </xf>
    <xf numFmtId="39" fontId="4" fillId="3" borderId="9" xfId="0" applyNumberFormat="1" applyFont="1" applyFill="1" applyBorder="1" applyAlignment="1">
      <alignment horizontal="right" wrapText="1"/>
    </xf>
    <xf numFmtId="39" fontId="4" fillId="3" borderId="10" xfId="0" applyNumberFormat="1" applyFont="1" applyFill="1" applyBorder="1" applyAlignment="1">
      <alignment horizontal="right" wrapText="1"/>
    </xf>
    <xf numFmtId="39" fontId="4" fillId="3" borderId="11" xfId="0" applyNumberFormat="1" applyFont="1" applyFill="1" applyBorder="1" applyAlignment="1">
      <alignment horizontal="right" wrapText="1"/>
    </xf>
    <xf numFmtId="39" fontId="4" fillId="3" borderId="12" xfId="0" applyNumberFormat="1" applyFont="1" applyFill="1" applyBorder="1" applyAlignment="1">
      <alignment horizontal="right" wrapText="1"/>
    </xf>
    <xf numFmtId="39" fontId="4" fillId="3" borderId="13" xfId="0" applyNumberFormat="1" applyFont="1" applyFill="1" applyBorder="1" applyAlignment="1">
      <alignment horizontal="right" wrapText="1"/>
    </xf>
    <xf numFmtId="39" fontId="4" fillId="3" borderId="14" xfId="0" applyNumberFormat="1" applyFont="1" applyFill="1" applyBorder="1" applyAlignment="1">
      <alignment horizontal="right" wrapText="1"/>
    </xf>
    <xf numFmtId="39" fontId="4" fillId="3" borderId="7" xfId="0" applyNumberFormat="1" applyFont="1" applyFill="1" applyBorder="1" applyAlignment="1">
      <alignment horizontal="right" wrapText="1"/>
    </xf>
    <xf numFmtId="39" fontId="4" fillId="3" borderId="15" xfId="0" applyNumberFormat="1" applyFont="1" applyFill="1" applyBorder="1" applyAlignment="1">
      <alignment horizontal="right" wrapText="1"/>
    </xf>
    <xf numFmtId="49" fontId="5" fillId="2" borderId="7" xfId="0" applyNumberFormat="1" applyFont="1" applyFill="1" applyBorder="1" applyAlignment="1">
      <alignment horizontal="left" wrapText="1" indent="1"/>
    </xf>
    <xf numFmtId="49" fontId="5" fillId="2" borderId="7" xfId="0" applyNumberFormat="1" applyFont="1" applyFill="1" applyBorder="1" applyAlignment="1">
      <alignment horizontal="left" wrapText="1"/>
    </xf>
    <xf numFmtId="49" fontId="6" fillId="2" borderId="7" xfId="0" applyNumberFormat="1" applyFont="1" applyFill="1" applyBorder="1" applyAlignment="1">
      <alignment horizontal="left" wrapText="1"/>
    </xf>
    <xf numFmtId="49" fontId="6" fillId="2" borderId="8" xfId="0" applyNumberFormat="1" applyFont="1" applyFill="1" applyBorder="1" applyAlignment="1">
      <alignment horizontal="left" wrapText="1"/>
    </xf>
    <xf numFmtId="39" fontId="6" fillId="2" borderId="13" xfId="0" applyNumberFormat="1" applyFont="1" applyFill="1" applyBorder="1" applyAlignment="1">
      <alignment horizontal="right" wrapText="1"/>
    </xf>
    <xf numFmtId="39" fontId="6" fillId="2" borderId="14" xfId="0" applyNumberFormat="1" applyFont="1" applyFill="1" applyBorder="1" applyAlignment="1">
      <alignment horizontal="right" wrapText="1"/>
    </xf>
    <xf numFmtId="39" fontId="6" fillId="2" borderId="7" xfId="0" applyNumberFormat="1" applyFont="1" applyFill="1" applyBorder="1" applyAlignment="1">
      <alignment horizontal="right" wrapText="1"/>
    </xf>
    <xf numFmtId="39" fontId="6" fillId="2" borderId="15" xfId="0" applyNumberFormat="1" applyFont="1" applyFill="1" applyBorder="1" applyAlignment="1">
      <alignment horizontal="right" wrapText="1"/>
    </xf>
    <xf numFmtId="49" fontId="7" fillId="2" borderId="7" xfId="0" applyNumberFormat="1" applyFont="1" applyFill="1" applyBorder="1" applyAlignment="1">
      <alignment horizontal="left" wrapText="1" indent="2"/>
    </xf>
    <xf numFmtId="49" fontId="7" fillId="2" borderId="7" xfId="0" applyNumberFormat="1" applyFont="1" applyFill="1" applyBorder="1" applyAlignment="1">
      <alignment horizontal="left" wrapText="1"/>
    </xf>
    <xf numFmtId="49" fontId="7" fillId="2" borderId="8" xfId="0" applyNumberFormat="1" applyFont="1" applyFill="1" applyBorder="1" applyAlignment="1">
      <alignment horizontal="left" wrapText="1"/>
    </xf>
    <xf numFmtId="0" fontId="2" fillId="3" borderId="7" xfId="0" applyFont="1" applyFill="1" applyBorder="1" applyAlignment="1">
      <alignment horizontal="left"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164" fontId="3" fillId="2" borderId="2" xfId="0" applyNumberFormat="1" applyFont="1" applyFill="1" applyBorder="1" applyAlignment="1">
      <alignment horizontal="center" wrapText="1"/>
    </xf>
    <xf numFmtId="164" fontId="3" fillId="2" borderId="0" xfId="0" applyNumberFormat="1" applyFont="1" applyFill="1" applyAlignment="1">
      <alignment horizontal="center" wrapText="1"/>
    </xf>
    <xf numFmtId="164" fontId="0" fillId="0" borderId="0" xfId="0" applyNumberFormat="1" applyAlignment="1">
      <alignment horizontal="center" wrapText="1"/>
    </xf>
    <xf numFmtId="164" fontId="3" fillId="2" borderId="16" xfId="0" applyNumberFormat="1" applyFont="1" applyFill="1" applyBorder="1" applyAlignment="1">
      <alignment horizontal="center" wrapText="1"/>
    </xf>
    <xf numFmtId="164" fontId="3" fillId="2" borderId="17" xfId="0" applyNumberFormat="1" applyFont="1" applyFill="1" applyBorder="1" applyAlignment="1">
      <alignment horizontal="center" wrapText="1"/>
    </xf>
    <xf numFmtId="164" fontId="0" fillId="0" borderId="18" xfId="0" applyNumberFormat="1" applyBorder="1" applyAlignment="1">
      <alignment horizontal="center" wrapText="1"/>
    </xf>
    <xf numFmtId="0" fontId="10" fillId="4" borderId="0" xfId="0" applyFont="1" applyFill="1"/>
    <xf numFmtId="0" fontId="12" fillId="4" borderId="0" xfId="0" applyFont="1" applyFill="1"/>
    <xf numFmtId="0" fontId="11" fillId="4" borderId="0" xfId="0" applyFont="1" applyFill="1" applyBorder="1"/>
    <xf numFmtId="0" fontId="11" fillId="4" borderId="17" xfId="0" applyFont="1" applyFill="1" applyBorder="1"/>
    <xf numFmtId="0" fontId="12" fillId="4" borderId="0" xfId="0" applyFont="1" applyFill="1" applyAlignment="1">
      <alignment horizontal="left"/>
    </xf>
    <xf numFmtId="0" fontId="12" fillId="4" borderId="0" xfId="0" applyNumberFormat="1" applyFont="1" applyFill="1"/>
    <xf numFmtId="169" fontId="12" fillId="4" borderId="0" xfId="0" applyNumberFormat="1" applyFont="1" applyFill="1"/>
    <xf numFmtId="169" fontId="12" fillId="4" borderId="0" xfId="0" applyNumberFormat="1" applyFont="1" applyFill="1" applyAlignment="1">
      <alignment horizontal="right"/>
    </xf>
    <xf numFmtId="170" fontId="12" fillId="4" borderId="0" xfId="1" applyNumberFormat="1" applyFont="1" applyFill="1" applyAlignment="1">
      <alignment horizontal="right"/>
    </xf>
    <xf numFmtId="0" fontId="9" fillId="4" borderId="0" xfId="0" applyFont="1" applyFill="1" applyAlignment="1">
      <alignment horizontal="center"/>
    </xf>
    <xf numFmtId="169" fontId="9" fillId="4" borderId="19" xfId="0" applyNumberFormat="1" applyFont="1" applyFill="1" applyBorder="1"/>
    <xf numFmtId="169" fontId="9" fillId="4" borderId="19" xfId="0" applyNumberFormat="1" applyFont="1" applyFill="1" applyBorder="1" applyAlignment="1">
      <alignment horizontal="right"/>
    </xf>
    <xf numFmtId="0" fontId="9" fillId="4" borderId="19" xfId="0" applyFont="1" applyFill="1" applyBorder="1" applyAlignment="1">
      <alignment horizontal="right"/>
    </xf>
    <xf numFmtId="0" fontId="9" fillId="4" borderId="19" xfId="0" applyFont="1" applyFill="1" applyBorder="1"/>
    <xf numFmtId="0" fontId="9" fillId="4" borderId="20" xfId="0" applyFont="1" applyFill="1" applyBorder="1"/>
    <xf numFmtId="169" fontId="9" fillId="4" borderId="20" xfId="0" applyNumberFormat="1" applyFont="1" applyFill="1" applyBorder="1"/>
    <xf numFmtId="169" fontId="9" fillId="4" borderId="20" xfId="0" applyNumberFormat="1" applyFont="1" applyFill="1" applyBorder="1" applyAlignment="1">
      <alignment horizontal="right"/>
    </xf>
    <xf numFmtId="170" fontId="9" fillId="4" borderId="20" xfId="1" applyNumberFormat="1" applyFont="1" applyFill="1" applyBorder="1" applyAlignment="1">
      <alignment horizontal="right"/>
    </xf>
    <xf numFmtId="0" fontId="9" fillId="4" borderId="0" xfId="0" applyFont="1" applyFill="1" applyBorder="1"/>
    <xf numFmtId="169" fontId="12" fillId="5" borderId="0" xfId="0" applyNumberFormat="1" applyFont="1" applyFill="1" applyAlignment="1">
      <alignment horizontal="right"/>
    </xf>
    <xf numFmtId="0" fontId="13" fillId="6" borderId="0" xfId="0" applyFont="1" applyFill="1"/>
  </cellXfs>
  <cellStyles count="2">
    <cellStyle name="Normal" xfId="0" builtinId="0"/>
    <cellStyle name="Percent" xfId="1" builtinId="5"/>
  </cellStyles>
  <dxfs count="55">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ill>
        <patternFill patternType="solid"/>
      </fill>
    </dxf>
    <dxf>
      <fill>
        <patternFill>
          <bgColor theme="0"/>
        </patternFill>
      </fill>
    </dxf>
    <dxf>
      <font>
        <name val="Arial"/>
        <scheme val="none"/>
      </font>
    </dxf>
    <dxf>
      <font>
        <sz val="9"/>
      </font>
    </dxf>
    <dxf>
      <font>
        <color theme="1"/>
        <family val="2"/>
      </font>
    </dxf>
    <dxf>
      <font>
        <color theme="1"/>
        <family val="2"/>
      </font>
    </dxf>
    <dxf>
      <font>
        <sz val="9"/>
      </font>
    </dxf>
    <dxf>
      <font>
        <name val="Arial"/>
        <scheme val="none"/>
      </font>
    </dxf>
    <dxf>
      <fill>
        <patternFill>
          <bgColor theme="0"/>
        </patternFill>
      </fill>
    </dxf>
    <dxf>
      <fill>
        <patternFill patternType="solid"/>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xdr:from>
      <xdr:col>15</xdr:col>
      <xdr:colOff>440267</xdr:colOff>
      <xdr:row>4</xdr:row>
      <xdr:rowOff>93134</xdr:rowOff>
    </xdr:from>
    <xdr:to>
      <xdr:col>17</xdr:col>
      <xdr:colOff>609600</xdr:colOff>
      <xdr:row>20</xdr:row>
      <xdr:rowOff>83603</xdr:rowOff>
    </xdr:to>
    <mc:AlternateContent xmlns:mc="http://schemas.openxmlformats.org/markup-compatibility/2006">
      <mc:Choice xmlns:a14="http://schemas.microsoft.com/office/drawing/2010/main" Requires="a14">
        <xdr:graphicFrame macro="">
          <xdr:nvGraphicFramePr>
            <xdr:cNvPr id="2" name="Brand">
              <a:extLst>
                <a:ext uri="{FF2B5EF4-FFF2-40B4-BE49-F238E27FC236}">
                  <a16:creationId xmlns:a16="http://schemas.microsoft.com/office/drawing/2014/main" id="{9C0E3204-3F27-AA4C-AE54-8C3EE860C96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3055600" y="78740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745067</xdr:colOff>
      <xdr:row>4</xdr:row>
      <xdr:rowOff>93134</xdr:rowOff>
    </xdr:from>
    <xdr:to>
      <xdr:col>20</xdr:col>
      <xdr:colOff>84667</xdr:colOff>
      <xdr:row>20</xdr:row>
      <xdr:rowOff>83603</xdr:rowOff>
    </xdr:to>
    <mc:AlternateContent xmlns:mc="http://schemas.openxmlformats.org/markup-compatibility/2006">
      <mc:Choice xmlns:a14="http://schemas.microsoft.com/office/drawing/2010/main" Requires="a14">
        <xdr:graphicFrame macro="">
          <xdr:nvGraphicFramePr>
            <xdr:cNvPr id="3" name="Package">
              <a:extLst>
                <a:ext uri="{FF2B5EF4-FFF2-40B4-BE49-F238E27FC236}">
                  <a16:creationId xmlns:a16="http://schemas.microsoft.com/office/drawing/2014/main" id="{5A165E39-EC4F-764C-AB78-C87CDEA06179}"/>
                </a:ext>
              </a:extLst>
            </xdr:cNvPr>
            <xdr:cNvGraphicFramePr/>
          </xdr:nvGraphicFramePr>
          <xdr:xfrm>
            <a:off x="0" y="0"/>
            <a:ext cx="0" cy="0"/>
          </xdr:xfrm>
          <a:graphic>
            <a:graphicData uri="http://schemas.microsoft.com/office/drawing/2010/slicer">
              <sle:slicer xmlns:sle="http://schemas.microsoft.com/office/drawing/2010/slicer" name="Package"/>
            </a:graphicData>
          </a:graphic>
        </xdr:graphicFrame>
      </mc:Choice>
      <mc:Fallback>
        <xdr:sp macro="" textlink="">
          <xdr:nvSpPr>
            <xdr:cNvPr id="0" name=""/>
            <xdr:cNvSpPr>
              <a:spLocks noTextEdit="1"/>
            </xdr:cNvSpPr>
          </xdr:nvSpPr>
          <xdr:spPr>
            <a:xfrm>
              <a:off x="15019867" y="787401"/>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402167</xdr:colOff>
      <xdr:row>21</xdr:row>
      <xdr:rowOff>135467</xdr:rowOff>
    </xdr:from>
    <xdr:to>
      <xdr:col>17</xdr:col>
      <xdr:colOff>571500</xdr:colOff>
      <xdr:row>37</xdr:row>
      <xdr:rowOff>125936</xdr:rowOff>
    </xdr:to>
    <mc:AlternateContent xmlns:mc="http://schemas.openxmlformats.org/markup-compatibility/2006">
      <mc:Choice xmlns:a14="http://schemas.microsoft.com/office/drawing/2010/main" Requires="a14">
        <xdr:graphicFrame macro="">
          <xdr:nvGraphicFramePr>
            <xdr:cNvPr id="4" name="Product Attributes">
              <a:extLst>
                <a:ext uri="{FF2B5EF4-FFF2-40B4-BE49-F238E27FC236}">
                  <a16:creationId xmlns:a16="http://schemas.microsoft.com/office/drawing/2014/main" id="{44A7710E-CC62-6448-9A7B-2F20235724F1}"/>
                </a:ext>
              </a:extLst>
            </xdr:cNvPr>
            <xdr:cNvGraphicFramePr/>
          </xdr:nvGraphicFramePr>
          <xdr:xfrm>
            <a:off x="0" y="0"/>
            <a:ext cx="0" cy="0"/>
          </xdr:xfrm>
          <a:graphic>
            <a:graphicData uri="http://schemas.microsoft.com/office/drawing/2010/slicer">
              <sle:slicer xmlns:sle="http://schemas.microsoft.com/office/drawing/2010/slicer" name="Product Attributes"/>
            </a:graphicData>
          </a:graphic>
        </xdr:graphicFrame>
      </mc:Choice>
      <mc:Fallback>
        <xdr:sp macro="" textlink="">
          <xdr:nvSpPr>
            <xdr:cNvPr id="0" name=""/>
            <xdr:cNvSpPr>
              <a:spLocks noTextEdit="1"/>
            </xdr:cNvSpPr>
          </xdr:nvSpPr>
          <xdr:spPr>
            <a:xfrm>
              <a:off x="13017500" y="3420534"/>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740833</xdr:colOff>
      <xdr:row>21</xdr:row>
      <xdr:rowOff>127000</xdr:rowOff>
    </xdr:from>
    <xdr:to>
      <xdr:col>20</xdr:col>
      <xdr:colOff>80433</xdr:colOff>
      <xdr:row>37</xdr:row>
      <xdr:rowOff>117469</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DF87BED6-A7AB-E34B-8812-DD129475EF5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015633" y="341206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Srinivasan" refreshedDate="46105.598361574077" createdVersion="8" refreshedVersion="8" minRefreshableVersion="3" recordCount="501" xr:uid="{DEBCEA33-FDCA-CE4B-ABC9-CEB746F52BC7}">
  <cacheSource type="worksheet">
    <worksheetSource ref="B1:M502" sheet="Structured Source"/>
  </cacheSource>
  <cacheFields count="12">
    <cacheField name="Product Description" numFmtId="0">
      <sharedItems/>
    </cacheField>
    <cacheField name="Manufacturer" numFmtId="0">
      <sharedItems count="98">
        <s v=" 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TradeKing Cengiz"/>
        <s v=" ClearSight"/>
        <s v=" CodeInt B.V."/>
        <s v=" ChillClean"/>
        <s v=" Cosmopolitan Italy"/>
        <s v=" CottonUnion"/>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CapPlus"/>
        <s v=" BrothersFlyProducts SAN A.S."/>
        <s v=" Snowball Cologne"/>
        <s v=" Kimberly Stone"/>
        <s v=" OliveTree S.A."/>
        <s v=" CosmicChem"/>
        <s v=" LabExpand"/>
        <s v=" LansinLab Inc"/>
        <s v=" Lara Beauty"/>
        <s v=" LeaderHealthFood"/>
        <s v=" GlobalMap"/>
        <s v=" PrimeBrands Marketing B.V."/>
        <s v=" Giga S.A."/>
        <s v=" MontraWorld"/>
        <s v=" Moratex Group / Tobi MegaGroup LTD"/>
        <s v=" MoreBeauty"/>
        <s v=" NaturalCo AB"/>
        <s v=" Voyage Turkey"/>
        <s v=" Nur Food Industry"/>
        <s v=" O-Package S.R.L."/>
        <s v=" OnTop"/>
        <s v=" CrescentTextile SAN"/>
        <s v=" PakChem"/>
        <s v=" Daisy Cotton Cosmetics"/>
        <s v=" IdealGroup"/>
        <s v=" PhoenixMedicine DOO"/>
        <s v=" FabreStone"/>
        <s v=" Pyramid72 DOO"/>
        <s v=" PreDone"/>
        <s v=" ProStart 97"/>
        <s v=" Proctor &amp; Wager"/>
        <s v=" PuigPeak"/>
        <s v=" QueenTrade LTD"/>
        <s v=" ColorSan"/>
        <s v=" SanHealth LTD"/>
        <s v=" SaproClean"/>
        <s v=" EuroPack Communications SRL"/>
        <s v=" SigmaKappaZeta Co."/>
        <s v=" SebaMedicines"/>
        <s v=" SignalTrade"/>
        <s v=" SepaTextiles"/>
        <s v=" SeptOn SA"/>
        <s v=" LovelyCo"/>
        <s v=" Quake S.P.A."/>
        <s v=" HappyBeauty A.S."/>
        <s v=" QueenStand Investment"/>
        <s v=" BladeSon LTD"/>
        <s v=" TahaChem Cosmetics"/>
        <s v=" TextileSan"/>
        <s v=" FoodTNCR"/>
        <s v=" TroyBeauty Trade"/>
        <s v=" Unac Beauty Makers SAN."/>
        <s v=" UniHandle"/>
        <s v=" GreenIlgaz Group"/>
      </sharedItems>
    </cacheField>
    <cacheField name="Brand" numFmtId="0">
      <sharedItems count="140">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sharedItems>
    </cacheField>
    <cacheField name="Package" numFmtId="0">
      <sharedItems count="2">
        <s v="BAGS"/>
        <s v="BOX"/>
      </sharedItems>
    </cacheField>
    <cacheField name="Product Attributes" numFmtId="0">
      <sharedItems count="6">
        <s v="WITHOUT EXTRA PROTECTCARE INDICATION"/>
        <s v="PH BALANCED"/>
        <s v="ALCOHOL FREE"/>
        <s v="SENSITIVE"/>
        <s v="HYPOALLERGENIC"/>
        <s v="ALCOHOL FREE &amp; HYPOALLERGENIC"/>
      </sharedItems>
    </cacheField>
    <cacheField name="Size" numFmtId="0">
      <sharedItems count="36">
        <s v="20"/>
        <s v="80"/>
        <s v="100"/>
        <s v="120"/>
        <s v="15"/>
        <s v="40"/>
        <s v="56"/>
        <s v="64"/>
        <s v="72"/>
        <s v="90"/>
        <s v="50"/>
        <s v="60"/>
        <s v="140"/>
        <s v="25"/>
        <s v="30"/>
        <s v="63"/>
        <s v="66"/>
        <s v="110"/>
        <s v="70"/>
        <s v="10"/>
        <s v="52"/>
        <s v="240"/>
        <s v="28"/>
        <s v="96"/>
        <s v="12"/>
        <s v="54"/>
        <s v="88"/>
        <s v="24"/>
        <s v="37"/>
        <s v="48"/>
        <s v="42.0000"/>
        <s v="144"/>
        <s v="102"/>
        <s v="57"/>
        <s v="75"/>
        <s v="130"/>
      </sharedItems>
    </cacheField>
    <cacheField name="2022 Value" numFmtId="0">
      <sharedItems containsString="0" containsBlank="1" containsNumber="1" minValue="2.3999999999999998E-3" maxValue="1663.8369"/>
    </cacheField>
    <cacheField name="2023 Value" numFmtId="0">
      <sharedItems containsString="0" containsBlank="1" containsNumber="1" minValue="1.6999999999999999E-3" maxValue="1815.6596999999999"/>
    </cacheField>
    <cacheField name="YTD 24 Value" numFmtId="0">
      <sharedItems containsString="0" containsBlank="1" containsNumber="1" minValue="5.9999999999999995E-4" maxValue="1049.2485999999999"/>
    </cacheField>
    <cacheField name="2022 Volume" numFmtId="0">
      <sharedItems containsString="0" containsBlank="1" containsNumber="1" minValue="1.37E-2" maxValue="62012.672500000001"/>
    </cacheField>
    <cacheField name="2023 Volume" numFmtId="0">
      <sharedItems containsString="0" containsBlank="1" containsNumber="1" minValue="0.02" maxValue="68679.966"/>
    </cacheField>
    <cacheField name="YTD 24 Volume" numFmtId="0">
      <sharedItems containsString="0" containsBlank="1" containsNumber="1" minValue="1.6E-2" maxValue="37856.881999999998"/>
    </cacheField>
  </cacheFields>
  <extLst>
    <ext xmlns:x14="http://schemas.microsoft.com/office/spreadsheetml/2009/9/main" uri="{725AE2AE-9491-48be-B2B4-4EB974FC3084}">
      <x14:pivotCacheDefinition pivotCacheId="253505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BABY2000 CAMOMILLA W 20 BAG ABA SRL"/>
    <x v="0"/>
    <x v="0"/>
    <x v="0"/>
    <x v="0"/>
    <x v="0"/>
    <n v="1.9350000000000001"/>
    <n v="0.624"/>
    <m/>
    <n v="24.822900000000001"/>
    <n v="9.4085999999999999"/>
    <m/>
  </r>
  <r>
    <s v="BAMBO NATURE W 80 BAG KAPAK"/>
    <x v="1"/>
    <x v="1"/>
    <x v="0"/>
    <x v="0"/>
    <x v="1"/>
    <n v="1.09E-2"/>
    <m/>
    <m/>
    <n v="0.16"/>
    <m/>
    <m/>
  </r>
  <r>
    <s v="BABY CREMA PLAY TIME CAMOMILE W 100 PINK"/>
    <x v="2"/>
    <x v="2"/>
    <x v="0"/>
    <x v="1"/>
    <x v="2"/>
    <n v="81.467399999999998"/>
    <n v="92.903000000000006"/>
    <n v="52.511899999999997"/>
    <n v="2980.7042999999999"/>
    <n v="3415.3553999999999"/>
    <n v="1823.0734"/>
  </r>
  <r>
    <s v="BABYCREMA PLAYTIME CAMOMILE W 100 ORANGE"/>
    <x v="2"/>
    <x v="2"/>
    <x v="0"/>
    <x v="1"/>
    <x v="2"/>
    <n v="165.22800000000001"/>
    <n v="172.68430000000001"/>
    <n v="91.1357"/>
    <n v="5930.9056"/>
    <n v="6183.6273000000001"/>
    <n v="3125.7986999999998"/>
  </r>
  <r>
    <s v="BABY CREMA CAMOMIL W 120 BAG KAPAK"/>
    <x v="2"/>
    <x v="2"/>
    <x v="0"/>
    <x v="1"/>
    <x v="3"/>
    <n v="842.87239999999997"/>
    <n v="745.33579999999995"/>
    <n v="366.95890000000003"/>
    <n v="38888.539799999999"/>
    <n v="31985.000499999998"/>
    <n v="14135.173000000001"/>
  </r>
  <r>
    <s v="BABY CREMA ALOE 15 BAG"/>
    <x v="2"/>
    <x v="2"/>
    <x v="0"/>
    <x v="0"/>
    <x v="4"/>
    <n v="12.774800000000001"/>
    <n v="10.866"/>
    <n v="6.7743000000000002"/>
    <n v="151.26679999999999"/>
    <n v="127.18680000000001"/>
    <n v="77.459400000000002"/>
  </r>
  <r>
    <s v="BABY CREMA CAMOMIL W 15 BAG"/>
    <x v="2"/>
    <x v="2"/>
    <x v="0"/>
    <x v="0"/>
    <x v="4"/>
    <n v="20.055299999999999"/>
    <n v="17.836099999999998"/>
    <n v="11.187099999999999"/>
    <n v="231.08779999999999"/>
    <n v="217.71180000000001"/>
    <n v="141.00800000000001"/>
  </r>
  <r>
    <s v="BABY CREMA PH5.5 W 3X15/1FR BAG &amp;&amp;&amp;"/>
    <x v="2"/>
    <x v="2"/>
    <x v="0"/>
    <x v="1"/>
    <x v="4"/>
    <n v="1.2461"/>
    <n v="7.7651000000000003"/>
    <n v="2.2378"/>
    <n v="20.960899999999999"/>
    <n v="127.6666"/>
    <n v="33.570999999999998"/>
  </r>
  <r>
    <s v="BABY CREMA WATER 99% W 15 BAG"/>
    <x v="2"/>
    <x v="2"/>
    <x v="0"/>
    <x v="2"/>
    <x v="4"/>
    <n v="9.6471999999999998"/>
    <n v="10.7577"/>
    <n v="7.0723000000000003"/>
    <n v="112.20610000000001"/>
    <n v="131.05279999999999"/>
    <n v="85.719800000000006"/>
  </r>
  <r>
    <s v="BABY CREMA CAMOMIL W 40 BAG"/>
    <x v="2"/>
    <x v="2"/>
    <x v="0"/>
    <x v="0"/>
    <x v="5"/>
    <n v="0.1235"/>
    <m/>
    <m/>
    <n v="2.2799999999999998"/>
    <m/>
    <m/>
  </r>
  <r>
    <s v="BABY CREMA COTTON&amp;PANTENOL W 4X56 BAG"/>
    <x v="2"/>
    <x v="2"/>
    <x v="0"/>
    <x v="1"/>
    <x v="6"/>
    <m/>
    <m/>
    <n v="7.1128"/>
    <m/>
    <m/>
    <n v="247.09899999999999"/>
  </r>
  <r>
    <s v="BABY CREMA COTTON&amp;PANTENOL W 56 BAG"/>
    <x v="2"/>
    <x v="2"/>
    <x v="0"/>
    <x v="1"/>
    <x v="6"/>
    <n v="0.18310000000000001"/>
    <n v="0.1116"/>
    <n v="0.38700000000000001"/>
    <n v="5.8884999999999996"/>
    <n v="3.7909999999999999"/>
    <n v="14.3827"/>
  </r>
  <r>
    <s v="BABY CREMA ALOE 64 BAG"/>
    <x v="2"/>
    <x v="2"/>
    <x v="0"/>
    <x v="0"/>
    <x v="7"/>
    <n v="1.8938999999999999"/>
    <m/>
    <n v="0.22520000000000001"/>
    <n v="49.9726"/>
    <m/>
    <n v="6.9500999999999999"/>
  </r>
  <r>
    <s v="BABY CREMA CAMOMIL W 64 BAG"/>
    <x v="2"/>
    <x v="2"/>
    <x v="0"/>
    <x v="0"/>
    <x v="7"/>
    <n v="1.3514999999999999"/>
    <n v="1.6999999999999999E-3"/>
    <m/>
    <n v="37.322600000000001"/>
    <n v="6.4000000000000001E-2"/>
    <m/>
  </r>
  <r>
    <s v="BABY CREMA PLAY TIME CAMOMIL W 64 BAG"/>
    <x v="2"/>
    <x v="2"/>
    <x v="0"/>
    <x v="1"/>
    <x v="7"/>
    <n v="5.8978000000000002"/>
    <n v="0.1087"/>
    <m/>
    <n v="169.58080000000001"/>
    <n v="3.3822999999999999"/>
    <m/>
  </r>
  <r>
    <s v="BABYCREMA CAMOMIL W 4X64 BAG SUPERTSENA"/>
    <x v="2"/>
    <x v="2"/>
    <x v="0"/>
    <x v="2"/>
    <x v="7"/>
    <n v="0.69669999999999999"/>
    <n v="28.392900000000001"/>
    <n v="2.1978"/>
    <n v="25.606300000000001"/>
    <n v="1226.3661999999999"/>
    <n v="96.438800000000001"/>
  </r>
  <r>
    <s v="BABY CREMA ALOE&amp;ALMOND OIL W 72 BAG"/>
    <x v="2"/>
    <x v="2"/>
    <x v="0"/>
    <x v="0"/>
    <x v="8"/>
    <n v="117.6534"/>
    <n v="68.117699999999999"/>
    <n v="28.349900000000002"/>
    <n v="3055.9405999999999"/>
    <n v="1781.8513"/>
    <n v="711.07719999999995"/>
  </r>
  <r>
    <s v="BABY CREMA CAMOMIL&amp;ALMOND W 72 BAG"/>
    <x v="2"/>
    <x v="2"/>
    <x v="0"/>
    <x v="0"/>
    <x v="8"/>
    <n v="38.677799999999998"/>
    <n v="31.4983"/>
    <n v="9.7551000000000005"/>
    <n v="954.11220000000003"/>
    <n v="803.28520000000003"/>
    <n v="236.19829999999999"/>
  </r>
  <r>
    <s v="BABY CREMA COTTON W 2X72BAG50%OT TS.VTOR"/>
    <x v="2"/>
    <x v="2"/>
    <x v="0"/>
    <x v="1"/>
    <x v="8"/>
    <n v="6.1199999999999997E-2"/>
    <m/>
    <m/>
    <n v="1.6046"/>
    <m/>
    <m/>
  </r>
  <r>
    <s v="BABY CREMA COTTON&amp;PANTENOL W 72 BAG"/>
    <x v="2"/>
    <x v="2"/>
    <x v="0"/>
    <x v="1"/>
    <x v="8"/>
    <n v="36.521799999999999"/>
    <n v="5.1192000000000002"/>
    <n v="1.1213"/>
    <n v="1199.5277000000001"/>
    <n v="135.36869999999999"/>
    <n v="30.554400000000001"/>
  </r>
  <r>
    <s v="BABY CREMA NEVEN PH5.5 W 72 BAG"/>
    <x v="2"/>
    <x v="2"/>
    <x v="0"/>
    <x v="1"/>
    <x v="8"/>
    <n v="21.958300000000001"/>
    <n v="39.467100000000002"/>
    <n v="10.7844"/>
    <n v="726.31399999999996"/>
    <n v="1508.4713999999999"/>
    <n v="314.52640000000002"/>
  </r>
  <r>
    <s v="BABY CREMA SMRADLIKA PH5.5 W 72 BAG"/>
    <x v="2"/>
    <x v="2"/>
    <x v="0"/>
    <x v="1"/>
    <x v="8"/>
    <n v="27.983599999999999"/>
    <n v="162.41050000000001"/>
    <n v="103.16800000000001"/>
    <n v="928.81529999999998"/>
    <n v="5484.9444999999996"/>
    <n v="3446.0194999999999"/>
  </r>
  <r>
    <s v="BABY CREMA WATER 99% W 72 BAG"/>
    <x v="2"/>
    <x v="2"/>
    <x v="0"/>
    <x v="0"/>
    <x v="8"/>
    <n v="221.17019999999999"/>
    <n v="159.9896"/>
    <n v="77.865600000000001"/>
    <n v="6715.8593000000001"/>
    <n v="4333.2687999999998"/>
    <n v="2035.5381"/>
  </r>
  <r>
    <s v="BABYCREMA CAMOMILE W 2X72BAG50%OTTS.VTOR"/>
    <x v="2"/>
    <x v="2"/>
    <x v="0"/>
    <x v="1"/>
    <x v="8"/>
    <n v="6.4486999999999997"/>
    <n v="1.6863999999999999"/>
    <m/>
    <n v="194.65190000000001"/>
    <n v="50.700299999999999"/>
    <m/>
  </r>
  <r>
    <s v="BABYCREMA PLAYTIME CAMOMIL W 72 BAG KAPA"/>
    <x v="2"/>
    <x v="2"/>
    <x v="0"/>
    <x v="1"/>
    <x v="8"/>
    <n v="1663.8369"/>
    <n v="1815.6596999999999"/>
    <n v="1049.2485999999999"/>
    <n v="62012.672500000001"/>
    <n v="68679.966"/>
    <n v="37856.881999999998"/>
  </r>
  <r>
    <s v="BABY CREMA ALOE W 80 BAG"/>
    <x v="2"/>
    <x v="2"/>
    <x v="0"/>
    <x v="0"/>
    <x v="1"/>
    <n v="1.7698"/>
    <n v="0.36170000000000002"/>
    <n v="0.20810000000000001"/>
    <n v="50.220500000000001"/>
    <n v="12.068099999999999"/>
    <n v="5.4642999999999997"/>
  </r>
  <r>
    <s v="BABY CREMA CAMOMIL W 80 BAG"/>
    <x v="2"/>
    <x v="2"/>
    <x v="0"/>
    <x v="0"/>
    <x v="1"/>
    <n v="61.981900000000003"/>
    <n v="56.970199999999998"/>
    <n v="23.8948"/>
    <n v="1524.2099000000001"/>
    <n v="1404.4858999999999"/>
    <n v="554.68420000000003"/>
  </r>
  <r>
    <s v="LINDY VITAMIN E PH5.5 W 120 BAG"/>
    <x v="3"/>
    <x v="3"/>
    <x v="0"/>
    <x v="1"/>
    <x v="3"/>
    <n v="78.227999999999994"/>
    <n v="99.030500000000004"/>
    <n v="56.674100000000003"/>
    <n v="4816.5708000000004"/>
    <n v="5822.6243999999997"/>
    <n v="2923.4182999999998"/>
  </r>
  <r>
    <s v="LINDY ALOE VERA&amp;VIT E W 64 BAG"/>
    <x v="3"/>
    <x v="3"/>
    <x v="0"/>
    <x v="0"/>
    <x v="7"/>
    <n v="11.11"/>
    <n v="8.9543999999999997"/>
    <n v="2.2328999999999999"/>
    <n v="523.16819999999996"/>
    <n v="387.32229999999998"/>
    <n v="84.428399999999996"/>
  </r>
  <r>
    <s v="LINDY ALOE VERA&amp;VIT E W 64 BAG KAPAK"/>
    <x v="3"/>
    <x v="3"/>
    <x v="0"/>
    <x v="0"/>
    <x v="7"/>
    <n v="79.953000000000003"/>
    <n v="73.757099999999994"/>
    <n v="40.362299999999998"/>
    <n v="3388.3481999999999"/>
    <n v="2840.8843000000002"/>
    <n v="1387.0689"/>
  </r>
  <r>
    <s v="LINDY CAMOMILE W 64 BAG"/>
    <x v="3"/>
    <x v="3"/>
    <x v="0"/>
    <x v="0"/>
    <x v="7"/>
    <n v="12.195"/>
    <n v="8.5597999999999992"/>
    <n v="1.6516999999999999"/>
    <n v="553.03880000000004"/>
    <n v="369.83049999999997"/>
    <n v="64.100099999999998"/>
  </r>
  <r>
    <s v="LINDY CAMOMILE W 64 BAG KAPAK"/>
    <x v="3"/>
    <x v="3"/>
    <x v="0"/>
    <x v="0"/>
    <x v="7"/>
    <n v="60.510800000000003"/>
    <n v="52.405999999999999"/>
    <n v="30.122800000000002"/>
    <n v="2540.1291999999999"/>
    <n v="2011.4869000000001"/>
    <n v="1066.0352"/>
  </r>
  <r>
    <s v="LINDY CREAM W 64 BAG KAPAK"/>
    <x v="3"/>
    <x v="3"/>
    <x v="0"/>
    <x v="0"/>
    <x v="7"/>
    <n v="47.8005"/>
    <n v="51.199100000000001"/>
    <n v="29.6906"/>
    <n v="1970.2177999999999"/>
    <n v="1924.2328"/>
    <n v="1027.8571999999999"/>
  </r>
  <r>
    <s v="LINDY CREAM&amp;VIT.E PH5.5 W 64 BAG"/>
    <x v="3"/>
    <x v="3"/>
    <x v="0"/>
    <x v="1"/>
    <x v="7"/>
    <m/>
    <n v="3.2536"/>
    <n v="4.3144"/>
    <m/>
    <n v="139.34979999999999"/>
    <n v="169.84690000000001"/>
  </r>
  <r>
    <s v="LINDY OLIVE OIL EXTR. PH5.5 W 64 BAG"/>
    <x v="3"/>
    <x v="3"/>
    <x v="0"/>
    <x v="1"/>
    <x v="7"/>
    <n v="5.5922000000000001"/>
    <n v="5.3672000000000004"/>
    <n v="2.5727000000000002"/>
    <n v="261.04790000000003"/>
    <n v="232.43600000000001"/>
    <n v="93.995500000000007"/>
  </r>
  <r>
    <s v="LINDY OLIVE OIL EXTR. W 64 BAG KAPAK"/>
    <x v="3"/>
    <x v="3"/>
    <x v="0"/>
    <x v="1"/>
    <x v="7"/>
    <n v="53.490699999999997"/>
    <n v="44.783700000000003"/>
    <n v="26.440899999999999"/>
    <n v="2262.5698000000002"/>
    <n v="1667.4681"/>
    <n v="920.88139999999999"/>
  </r>
  <r>
    <s v="LINDY SENSITIVE COTTON PH5.5 W 64 BAG"/>
    <x v="3"/>
    <x v="3"/>
    <x v="0"/>
    <x v="3"/>
    <x v="7"/>
    <n v="8.2710000000000008"/>
    <n v="9.9309999999999992"/>
    <n v="1.1805000000000001"/>
    <n v="392.0086"/>
    <n v="426.19690000000003"/>
    <n v="46.280799999999999"/>
  </r>
  <r>
    <s v="LINDY SENSITIVE W 64 BAG KAPAK"/>
    <x v="3"/>
    <x v="3"/>
    <x v="0"/>
    <x v="3"/>
    <x v="7"/>
    <n v="70.562299999999993"/>
    <n v="56.785600000000002"/>
    <n v="30.796600000000002"/>
    <n v="2842.3220000000001"/>
    <n v="2121.0371"/>
    <n v="1067.8224"/>
  </r>
  <r>
    <s v="LINDY WHITE TEA&amp;VIT E W 64 BAG"/>
    <x v="3"/>
    <x v="3"/>
    <x v="0"/>
    <x v="1"/>
    <x v="7"/>
    <n v="34.495899999999999"/>
    <n v="35.333399999999997"/>
    <n v="28.078199999999999"/>
    <n v="1446.3839"/>
    <n v="1359.9783"/>
    <n v="967.9162"/>
  </r>
  <r>
    <s v="LINDY PREMIUM LAVENDER W 90 BAG KAPAK"/>
    <x v="3"/>
    <x v="3"/>
    <x v="0"/>
    <x v="2"/>
    <x v="9"/>
    <n v="49.5715"/>
    <n v="57.943199999999997"/>
    <n v="41.595799999999997"/>
    <n v="2203.8969999999999"/>
    <n v="2377.6914999999999"/>
    <n v="1614.8326999999999"/>
  </r>
  <r>
    <s v="LUBA BABY B5&amp;VIT E PH5.5W 120 BAG"/>
    <x v="4"/>
    <x v="4"/>
    <x v="0"/>
    <x v="1"/>
    <x v="3"/>
    <m/>
    <m/>
    <n v="5.7117000000000004"/>
    <m/>
    <m/>
    <n v="338.46300000000002"/>
  </r>
  <r>
    <s v="LUBA BABY B5&amp;VIT E PH5.5 90 W BAG"/>
    <x v="4"/>
    <x v="4"/>
    <x v="0"/>
    <x v="1"/>
    <x v="9"/>
    <m/>
    <n v="4.4634999999999998"/>
    <n v="0.1893"/>
    <m/>
    <n v="231.33420000000001"/>
    <n v="9.7352000000000007"/>
  </r>
  <r>
    <s v="HUGGLO BABY PH5.5 W 120 BAG KAPAK"/>
    <x v="5"/>
    <x v="5"/>
    <x v="0"/>
    <x v="1"/>
    <x v="3"/>
    <n v="0.70520000000000005"/>
    <m/>
    <m/>
    <n v="47.325299999999999"/>
    <m/>
    <m/>
  </r>
  <r>
    <s v="PAPILION BABY ALOE VERA W 100 BAG KAPAK"/>
    <x v="6"/>
    <x v="6"/>
    <x v="0"/>
    <x v="1"/>
    <x v="2"/>
    <n v="0.76280000000000003"/>
    <n v="0.23669999999999999"/>
    <n v="0.1135"/>
    <n v="43.074599999999997"/>
    <n v="13.9861"/>
    <n v="6.5488999999999997"/>
  </r>
  <r>
    <s v="PAPILION BABY SENSITIVE W 100 BAG KAPAK"/>
    <x v="6"/>
    <x v="6"/>
    <x v="0"/>
    <x v="3"/>
    <x v="2"/>
    <n v="14.3467"/>
    <n v="14.9893"/>
    <n v="7.9457000000000004"/>
    <n v="749.43960000000004"/>
    <n v="788.71510000000001"/>
    <n v="388.85250000000002"/>
  </r>
  <r>
    <s v="PAPILION BABY WET CHAMOMILE W 100 BAG"/>
    <x v="6"/>
    <x v="6"/>
    <x v="0"/>
    <x v="0"/>
    <x v="2"/>
    <n v="9.9741999999999997"/>
    <n v="17.767600000000002"/>
    <n v="9.7081"/>
    <n v="530.94489999999996"/>
    <n v="921.25450000000001"/>
    <n v="442.90179999999998"/>
  </r>
  <r>
    <s v="PAPILION BABY WET GREEN APPLE W 100 BAG"/>
    <x v="6"/>
    <x v="6"/>
    <x v="0"/>
    <x v="0"/>
    <x v="2"/>
    <n v="15.1808"/>
    <n v="9.7044999999999995"/>
    <n v="2.6509999999999998"/>
    <n v="814.55730000000005"/>
    <n v="531.53909999999996"/>
    <n v="144.98150000000001"/>
  </r>
  <r>
    <s v="PAPILION BABYWET CHARM.LAVENDER W 100BAG"/>
    <x v="6"/>
    <x v="6"/>
    <x v="0"/>
    <x v="1"/>
    <x v="2"/>
    <n v="18.2471"/>
    <n v="19.903099999999998"/>
    <n v="8.7614000000000001"/>
    <n v="989.38980000000004"/>
    <n v="1044.1582000000001"/>
    <n v="387.44209999999998"/>
  </r>
  <r>
    <s v="PAPILION BABYWET CHARMINGROSE W 100 BAG"/>
    <x v="6"/>
    <x v="6"/>
    <x v="0"/>
    <x v="1"/>
    <x v="2"/>
    <n v="13.7898"/>
    <n v="10.6778"/>
    <n v="5.2233000000000001"/>
    <n v="726.86360000000002"/>
    <n v="563.28449999999998"/>
    <n v="268.45999999999998"/>
  </r>
  <r>
    <s v="PAPILION JUMBO WET PH5.5 W 120 BAG KAPAK"/>
    <x v="6"/>
    <x v="6"/>
    <x v="0"/>
    <x v="1"/>
    <x v="3"/>
    <n v="29.590800000000002"/>
    <n v="20.845300000000002"/>
    <n v="11.449400000000001"/>
    <n v="1741.4848"/>
    <n v="1127.5655999999999"/>
    <n v="585.96109999999999"/>
  </r>
  <r>
    <s v="PAPILION BABY WET SENSITIVE W 72 BAG"/>
    <x v="6"/>
    <x v="6"/>
    <x v="0"/>
    <x v="3"/>
    <x v="8"/>
    <n v="0.72840000000000005"/>
    <m/>
    <m/>
    <n v="51.0182"/>
    <m/>
    <m/>
  </r>
  <r>
    <s v="PAPILION YELLOW LILY W 90 BAG KAPAK"/>
    <x v="6"/>
    <x v="6"/>
    <x v="0"/>
    <x v="2"/>
    <x v="9"/>
    <n v="2.0455000000000001"/>
    <n v="0.30070000000000002"/>
    <n v="9.6000000000000002E-2"/>
    <n v="81.869600000000005"/>
    <n v="11.870100000000001"/>
    <n v="3.7711999999999999"/>
  </r>
  <r>
    <s v="PINE ALOE VERA KREMALI W 120 BAG KAPAK"/>
    <x v="7"/>
    <x v="7"/>
    <x v="0"/>
    <x v="0"/>
    <x v="3"/>
    <n v="1.0717000000000001"/>
    <n v="1.6845000000000001"/>
    <n v="0.2092"/>
    <n v="53.428199999999997"/>
    <n v="83.401399999999995"/>
    <n v="9.5612999999999992"/>
  </r>
  <r>
    <s v="PINE ALOE VERA KREMALI W 72 BAG KAPAK"/>
    <x v="7"/>
    <x v="7"/>
    <x v="0"/>
    <x v="0"/>
    <x v="8"/>
    <n v="0.46760000000000002"/>
    <n v="0.37340000000000001"/>
    <n v="0.47289999999999999"/>
    <n v="17.929200000000002"/>
    <n v="13.441700000000001"/>
    <n v="18.149699999999999"/>
  </r>
  <r>
    <s v="TROMPY 20 BAG"/>
    <x v="8"/>
    <x v="8"/>
    <x v="0"/>
    <x v="0"/>
    <x v="0"/>
    <n v="4.4499999999999998E-2"/>
    <n v="6.2E-2"/>
    <m/>
    <n v="0.36759999999999998"/>
    <n v="0.48380000000000001"/>
    <m/>
  </r>
  <r>
    <s v="HAPPY FRESH BABY W 72 BAG KAPAK"/>
    <x v="9"/>
    <x v="9"/>
    <x v="0"/>
    <x v="0"/>
    <x v="8"/>
    <n v="3.3401000000000001"/>
    <n v="5.1974"/>
    <n v="3.7094999999999998"/>
    <n v="168.65979999999999"/>
    <n v="278.62639999999999"/>
    <n v="222.0746"/>
  </r>
  <r>
    <s v="ULTRA COMPACT ANGELS ALC.FREE W 120 BAG"/>
    <x v="9"/>
    <x v="10"/>
    <x v="0"/>
    <x v="2"/>
    <x v="3"/>
    <n v="1.2582"/>
    <n v="4.4390999999999998"/>
    <n v="0.70909999999999995"/>
    <n v="67.526600000000002"/>
    <n v="226.15649999999999"/>
    <n v="33.759099999999997"/>
  </r>
  <r>
    <s v="ULTRA COMPACT MOMO CREAMY W 120 BAG"/>
    <x v="9"/>
    <x v="10"/>
    <x v="0"/>
    <x v="2"/>
    <x v="3"/>
    <n v="4.5986000000000002"/>
    <n v="6.1303000000000001"/>
    <n v="2.8555999999999999"/>
    <n v="228.69929999999999"/>
    <n v="310.51369999999997"/>
    <n v="123.6022"/>
  </r>
  <r>
    <s v="ULTRA COMPACT ANGELS ALC.FREE W 72 BAG"/>
    <x v="9"/>
    <x v="10"/>
    <x v="0"/>
    <x v="2"/>
    <x v="8"/>
    <n v="0.94640000000000002"/>
    <n v="1.6005"/>
    <n v="1.0179"/>
    <n v="54.868499999999997"/>
    <n v="87.027500000000003"/>
    <n v="38.080399999999997"/>
  </r>
  <r>
    <s v="ULTRACOMPACT BABY PH5.5 ALC.FREE W 72 BA"/>
    <x v="9"/>
    <x v="10"/>
    <x v="0"/>
    <x v="1"/>
    <x v="8"/>
    <n v="1.8199000000000001"/>
    <n v="0.76910000000000001"/>
    <n v="0.73480000000000001"/>
    <n v="83.522300000000001"/>
    <n v="35.127499999999998"/>
    <n v="37.258200000000002"/>
  </r>
  <r>
    <s v="KANZ NATURAL SENS.SKIN ALC.FREE W120 BAG"/>
    <x v="10"/>
    <x v="11"/>
    <x v="0"/>
    <x v="2"/>
    <x v="3"/>
    <m/>
    <n v="10.5616"/>
    <n v="42.6479"/>
    <m/>
    <n v="483.39569999999998"/>
    <n v="1689.356"/>
  </r>
  <r>
    <s v="KANZ EXTRA SOFT ALC.FREE W 50 BAG"/>
    <x v="10"/>
    <x v="11"/>
    <x v="0"/>
    <x v="2"/>
    <x v="10"/>
    <m/>
    <n v="2.0855999999999999"/>
    <n v="2.5316000000000001"/>
    <m/>
    <n v="61.262700000000002"/>
    <n v="71.165300000000002"/>
  </r>
  <r>
    <s v="KANZ ULTRA SOFT ALC.FREE W 72 BAG"/>
    <x v="10"/>
    <x v="11"/>
    <x v="0"/>
    <x v="2"/>
    <x v="8"/>
    <m/>
    <n v="0.54479999999999995"/>
    <n v="7.6315999999999997"/>
    <m/>
    <n v="20.880700000000001"/>
    <n v="330.70479999999998"/>
  </r>
  <r>
    <s v="CHICCO SALVIETTINE SENSITIVE W 60 BAG"/>
    <x v="11"/>
    <x v="12"/>
    <x v="0"/>
    <x v="3"/>
    <x v="11"/>
    <m/>
    <n v="1.5012000000000001"/>
    <n v="0.18310000000000001"/>
    <m/>
    <n v="36.194499999999998"/>
    <n v="4.9927999999999999"/>
  </r>
  <r>
    <s v="CHICCO SALVIETTINE PARABENI W 72 BAG"/>
    <x v="11"/>
    <x v="12"/>
    <x v="0"/>
    <x v="2"/>
    <x v="8"/>
    <n v="3.1665000000000001"/>
    <n v="0.6875"/>
    <n v="0.27989999999999998"/>
    <n v="65.203199999999995"/>
    <n v="14.1759"/>
    <n v="5.1737000000000002"/>
  </r>
  <r>
    <s v="UNI COMFORT LOTION P H5.5 72 BAG"/>
    <x v="12"/>
    <x v="13"/>
    <x v="0"/>
    <x v="1"/>
    <x v="8"/>
    <m/>
    <m/>
    <n v="5.57E-2"/>
    <m/>
    <m/>
    <n v="1.7425999999999999"/>
  </r>
  <r>
    <s v="EVENT BABY CALENDULA 140 BAG KAPAK"/>
    <x v="13"/>
    <x v="14"/>
    <x v="0"/>
    <x v="1"/>
    <x v="12"/>
    <n v="209.29769999999999"/>
    <n v="236.50559999999999"/>
    <n v="198.2927"/>
    <n v="7336.5478999999996"/>
    <n v="8103.1085000000003"/>
    <n v="7048.5825999999997"/>
  </r>
  <r>
    <s v="EVENT BABY CALENDULA 140 BAG KAPAK+WIP"/>
    <x v="13"/>
    <x v="14"/>
    <x v="0"/>
    <x v="1"/>
    <x v="12"/>
    <n v="2.7799999999999998E-2"/>
    <n v="4.5999999999999999E-3"/>
    <m/>
    <n v="1.2"/>
    <n v="0.2"/>
    <m/>
  </r>
  <r>
    <s v="EVENT BABY MOIST.CHAMOMILE 20 W BAG"/>
    <x v="13"/>
    <x v="14"/>
    <x v="0"/>
    <x v="1"/>
    <x v="0"/>
    <n v="27.777100000000001"/>
    <n v="19.717700000000001"/>
    <n v="14.4848"/>
    <n v="429.91730000000001"/>
    <n v="309.96710000000002"/>
    <n v="229.3313"/>
  </r>
  <r>
    <s v="EVENT BABY SENSIT. ALOE VERA 20 BAG"/>
    <x v="13"/>
    <x v="14"/>
    <x v="0"/>
    <x v="3"/>
    <x v="0"/>
    <n v="40.515599999999999"/>
    <n v="34.999099999999999"/>
    <n v="5.7746000000000004"/>
    <n v="630.63189999999997"/>
    <n v="558.36739999999998"/>
    <n v="90.998999999999995"/>
  </r>
  <r>
    <s v="EVENT BABY CALENDULA W 25 BAG"/>
    <x v="13"/>
    <x v="14"/>
    <x v="0"/>
    <x v="1"/>
    <x v="13"/>
    <n v="61.397500000000001"/>
    <n v="45.295999999999999"/>
    <n v="19.337599999999998"/>
    <n v="1027.2618"/>
    <n v="758.06629999999996"/>
    <n v="328.18349999999998"/>
  </r>
  <r>
    <s v="EVENT BABY CALENDULA W 25 BAG+WIP 140"/>
    <x v="13"/>
    <x v="14"/>
    <x v="0"/>
    <x v="1"/>
    <x v="13"/>
    <n v="1.03E-2"/>
    <n v="1.6999999999999999E-3"/>
    <m/>
    <n v="0.21429999999999999"/>
    <n v="3.5700000000000003E-2"/>
    <m/>
  </r>
  <r>
    <s v="EVENT BABY CALENDULA HYPOALL.W 30 BAG"/>
    <x v="13"/>
    <x v="14"/>
    <x v="0"/>
    <x v="4"/>
    <x v="14"/>
    <m/>
    <m/>
    <n v="8.3928999999999991"/>
    <m/>
    <m/>
    <n v="185.37119999999999"/>
  </r>
  <r>
    <s v="EVENT BABY HYPOAL.CALENDULA 64 W BAG"/>
    <x v="13"/>
    <x v="14"/>
    <x v="0"/>
    <x v="4"/>
    <x v="7"/>
    <n v="11.2281"/>
    <n v="7.5716999999999999"/>
    <n v="1.9255"/>
    <n v="325.11810000000003"/>
    <n v="236.1233"/>
    <n v="61.869799999999998"/>
  </r>
  <r>
    <s v="EVENT BABY HYPOALL.CHAMOMILE 72 W BAG"/>
    <x v="13"/>
    <x v="14"/>
    <x v="0"/>
    <x v="4"/>
    <x v="8"/>
    <n v="56.268599999999999"/>
    <n v="22.377800000000001"/>
    <n v="12.435499999999999"/>
    <n v="1799.2518"/>
    <n v="721.99059999999997"/>
    <n v="385.45190000000002"/>
  </r>
  <r>
    <s v="EVENT BABY MOIST.CHAMOMILE 72 W BAG"/>
    <x v="13"/>
    <x v="14"/>
    <x v="0"/>
    <x v="0"/>
    <x v="8"/>
    <n v="0.64159999999999995"/>
    <n v="0.34470000000000001"/>
    <m/>
    <n v="14.463900000000001"/>
    <n v="7.3648999999999996"/>
    <m/>
  </r>
  <r>
    <s v="EVENT BABY SENSIT. ALOE VERA 72 W BAG"/>
    <x v="13"/>
    <x v="14"/>
    <x v="0"/>
    <x v="3"/>
    <x v="8"/>
    <n v="64.480099999999993"/>
    <n v="81.182500000000005"/>
    <n v="15.496600000000001"/>
    <n v="2159.5493999999999"/>
    <n v="2486.1275000000001"/>
    <n v="493.73469999999998"/>
  </r>
  <r>
    <s v="TEX BABY PH5.5 ALC.FREE W 100 BAG PURPLE"/>
    <x v="14"/>
    <x v="15"/>
    <x v="0"/>
    <x v="1"/>
    <x v="2"/>
    <m/>
    <m/>
    <n v="0.24490000000000001"/>
    <m/>
    <m/>
    <n v="9.7979000000000003"/>
  </r>
  <r>
    <s v="TEX BABY PH5.5 ALC.FREE W 100 BAG YELLOW"/>
    <x v="14"/>
    <x v="15"/>
    <x v="0"/>
    <x v="1"/>
    <x v="2"/>
    <n v="0.22359999999999999"/>
    <n v="1.0136000000000001"/>
    <n v="0.81230000000000002"/>
    <n v="12.2155"/>
    <n v="49.151600000000002"/>
    <n v="34.919499999999999"/>
  </r>
  <r>
    <s v="NIVEA BABY SOFT&amp;CREME 20 BAG"/>
    <x v="15"/>
    <x v="16"/>
    <x v="0"/>
    <x v="0"/>
    <x v="0"/>
    <n v="15.0191"/>
    <n v="17.616800000000001"/>
    <n v="13.700200000000001"/>
    <n v="121.4559"/>
    <n v="162.24"/>
    <n v="126.0534"/>
  </r>
  <r>
    <s v="NIVEA BABY TODDIES 2IN1 60 BAG"/>
    <x v="15"/>
    <x v="16"/>
    <x v="0"/>
    <x v="0"/>
    <x v="11"/>
    <n v="19.776399999999999"/>
    <n v="13.798299999999999"/>
    <n v="7.5656999999999996"/>
    <n v="281.97280000000001"/>
    <n v="222.7071"/>
    <n v="118.9547"/>
  </r>
  <r>
    <s v="NIVEA BABY FRESH&amp;PURE 63 BAG"/>
    <x v="15"/>
    <x v="16"/>
    <x v="0"/>
    <x v="0"/>
    <x v="15"/>
    <n v="41.314100000000003"/>
    <n v="32.422600000000003"/>
    <n v="18.6829"/>
    <n v="549.64080000000001"/>
    <n v="416.84789999999998"/>
    <n v="241.38910000000001"/>
  </r>
  <r>
    <s v="NIVEA BABY PURE&amp;SENSITIVE 63 W BAG"/>
    <x v="15"/>
    <x v="16"/>
    <x v="0"/>
    <x v="2"/>
    <x v="15"/>
    <n v="10.5054"/>
    <n v="0.496"/>
    <m/>
    <n v="168.06010000000001"/>
    <n v="9.3780000000000001"/>
    <m/>
  </r>
  <r>
    <s v="NIVEA BABY SOFT&amp;CREME 63 BAG"/>
    <x v="15"/>
    <x v="16"/>
    <x v="0"/>
    <x v="0"/>
    <x v="15"/>
    <n v="26.694099999999999"/>
    <n v="16.9801"/>
    <n v="8.3484999999999996"/>
    <n v="362.30340000000001"/>
    <n v="234.6001"/>
    <n v="111.9991"/>
  </r>
  <r>
    <s v="SMILE ALOE&amp;CAMOMILE PH5.5 60 BAG"/>
    <x v="16"/>
    <x v="17"/>
    <x v="0"/>
    <x v="1"/>
    <x v="11"/>
    <n v="0.52039999999999997"/>
    <n v="1.6072"/>
    <n v="0.16420000000000001"/>
    <n v="10.5198"/>
    <n v="34.4998"/>
    <n v="3.1461000000000001"/>
  </r>
  <r>
    <s v="BABYCARE WITHCREAM W 80/8FREE BAG KAPAK"/>
    <x v="17"/>
    <x v="18"/>
    <x v="0"/>
    <x v="1"/>
    <x v="8"/>
    <m/>
    <n v="3.7900000000000003E-2"/>
    <n v="6.93E-2"/>
    <m/>
    <n v="2.3294000000000001"/>
    <n v="4.2670000000000003"/>
  </r>
  <r>
    <s v="ClearSight BABY ALOE VERA PH5.5 W 25 BAG"/>
    <x v="18"/>
    <x v="19"/>
    <x v="0"/>
    <x v="1"/>
    <x v="13"/>
    <m/>
    <n v="8.6E-3"/>
    <n v="13.3878"/>
    <m/>
    <n v="0.19639999999999999"/>
    <n v="341.02409999999998"/>
  </r>
  <r>
    <s v="ClearSight BABY CALENDULA PH5.5 W 25 BAG"/>
    <x v="18"/>
    <x v="19"/>
    <x v="0"/>
    <x v="1"/>
    <x v="13"/>
    <m/>
    <n v="4.8898999999999999"/>
    <n v="10.664400000000001"/>
    <m/>
    <n v="145.9169"/>
    <n v="284.60649999999998"/>
  </r>
  <r>
    <s v="ClearSight BABY CHAMOMILE PH5.5 W 25 BAG"/>
    <x v="18"/>
    <x v="19"/>
    <x v="0"/>
    <x v="1"/>
    <x v="13"/>
    <m/>
    <n v="5.8544999999999998"/>
    <n v="9.0564"/>
    <m/>
    <n v="166.38579999999999"/>
    <n v="238.54349999999999"/>
  </r>
  <r>
    <s v="ClearSight BABY CHAMOMILE PH5.5 W 66 BAG"/>
    <x v="18"/>
    <x v="19"/>
    <x v="0"/>
    <x v="1"/>
    <x v="16"/>
    <m/>
    <m/>
    <n v="0.9879"/>
    <m/>
    <m/>
    <n v="34.929000000000002"/>
  </r>
  <r>
    <s v="ClearSight BABY ALOE VERA PH5.5 W 80 BAG"/>
    <x v="18"/>
    <x v="19"/>
    <x v="0"/>
    <x v="1"/>
    <x v="1"/>
    <n v="15.267200000000001"/>
    <n v="16.318300000000001"/>
    <n v="16.784099999999999"/>
    <n v="431.15870000000001"/>
    <n v="473.67329999999998"/>
    <n v="505.80540000000002"/>
  </r>
  <r>
    <s v="ClearSight BABY CALENDULA PH5.5 W 80 BAG"/>
    <x v="18"/>
    <x v="19"/>
    <x v="0"/>
    <x v="1"/>
    <x v="1"/>
    <n v="9.5295000000000005"/>
    <n v="13.395300000000001"/>
    <n v="18.126999999999999"/>
    <n v="274.45499999999998"/>
    <n v="396.72109999999998"/>
    <n v="559.59109999999998"/>
  </r>
  <r>
    <s v="ClearSight BABY CHAMOMILE PH5.5 W 80 BAG"/>
    <x v="18"/>
    <x v="19"/>
    <x v="0"/>
    <x v="1"/>
    <x v="1"/>
    <n v="11.2293"/>
    <n v="14.7631"/>
    <n v="16.131900000000002"/>
    <n v="318.93810000000002"/>
    <n v="440.8152"/>
    <n v="474.58569999999997"/>
  </r>
  <r>
    <s v="OKIDOKI  FreshClean CAMOMILLA 60 BAG"/>
    <x v="19"/>
    <x v="20"/>
    <x v="0"/>
    <x v="0"/>
    <x v="11"/>
    <n v="1.03E-2"/>
    <m/>
    <m/>
    <n v="0.3876"/>
    <m/>
    <m/>
  </r>
  <r>
    <s v="BABY WISH VITE&amp;PROVITAMINB5 W 120 BAG"/>
    <x v="20"/>
    <x v="21"/>
    <x v="0"/>
    <x v="0"/>
    <x v="3"/>
    <m/>
    <n v="1.8077000000000001"/>
    <n v="54.250700000000002"/>
    <m/>
    <n v="127.6024"/>
    <n v="2956.24"/>
  </r>
  <r>
    <s v="COSMI BABY ARGAN W 20 BAG"/>
    <x v="21"/>
    <x v="22"/>
    <x v="0"/>
    <x v="0"/>
    <x v="0"/>
    <m/>
    <n v="0.1202"/>
    <m/>
    <m/>
    <n v="2.4085999999999999"/>
    <m/>
  </r>
  <r>
    <s v="AQUELLA BABY AMUR WITH CREAM W 120 BAG"/>
    <x v="22"/>
    <x v="23"/>
    <x v="0"/>
    <x v="1"/>
    <x v="3"/>
    <n v="28.356999999999999"/>
    <n v="20.580200000000001"/>
    <n v="0.78890000000000005"/>
    <n v="1646.7402"/>
    <n v="1088.8000999999999"/>
    <n v="38.968699999999998"/>
  </r>
  <r>
    <s v="AQUELLA BABY ULTRA SOFT CREAM W 120 BAG"/>
    <x v="22"/>
    <x v="23"/>
    <x v="0"/>
    <x v="2"/>
    <x v="3"/>
    <n v="12.003299999999999"/>
    <n v="12.0252"/>
    <n v="1.8045"/>
    <n v="643.41989999999998"/>
    <n v="689.18370000000004"/>
    <n v="98.837400000000002"/>
  </r>
  <r>
    <s v="AQUELLA TROPIC ALC.FREE W 120 BAG"/>
    <x v="22"/>
    <x v="23"/>
    <x v="0"/>
    <x v="2"/>
    <x v="3"/>
    <n v="0.11600000000000001"/>
    <m/>
    <m/>
    <n v="6.96"/>
    <m/>
    <m/>
  </r>
  <r>
    <s v="AQUELLA KIDS BABY ALOEVERA&amp;CREAM W 60BAG"/>
    <x v="22"/>
    <x v="23"/>
    <x v="0"/>
    <x v="1"/>
    <x v="11"/>
    <n v="4.6429999999999998"/>
    <n v="2.3708"/>
    <n v="3.8805999999999998"/>
    <n v="208.76240000000001"/>
    <n v="99.124899999999997"/>
    <n v="163.75460000000001"/>
  </r>
  <r>
    <s v="AQUELLA BABY VIT E&amp;PRO B5 W 72 BAG"/>
    <x v="22"/>
    <x v="23"/>
    <x v="0"/>
    <x v="2"/>
    <x v="8"/>
    <n v="8.5853000000000002"/>
    <n v="4.2140000000000004"/>
    <n v="0.26250000000000001"/>
    <n v="402.53930000000003"/>
    <n v="207.43709999999999"/>
    <n v="13.0296"/>
  </r>
  <r>
    <s v="AQUELLA KIDS BABY PH5.5 W 72 BAG"/>
    <x v="22"/>
    <x v="23"/>
    <x v="0"/>
    <x v="1"/>
    <x v="8"/>
    <n v="0.83140000000000003"/>
    <n v="1.5299999999999999E-2"/>
    <m/>
    <n v="39.196399999999997"/>
    <n v="0.64800000000000002"/>
    <m/>
  </r>
  <r>
    <s v="AQUELLA BABY VIT E&amp;PRO B5 W 90 BAG KAPAK"/>
    <x v="22"/>
    <x v="23"/>
    <x v="0"/>
    <x v="1"/>
    <x v="9"/>
    <n v="2.9493999999999998"/>
    <n v="0.27079999999999999"/>
    <m/>
    <n v="169.64840000000001"/>
    <n v="12.904400000000001"/>
    <m/>
  </r>
  <r>
    <s v="AURA ULTRA COMF. COTTON HYPOALL. W 100 B"/>
    <x v="22"/>
    <x v="24"/>
    <x v="0"/>
    <x v="4"/>
    <x v="2"/>
    <n v="4.0140000000000002"/>
    <m/>
    <m/>
    <n v="230.286"/>
    <m/>
    <m/>
  </r>
  <r>
    <s v="AURA ULTRA COMFORT COTTON W 63 BAG"/>
    <x v="22"/>
    <x v="24"/>
    <x v="0"/>
    <x v="0"/>
    <x v="15"/>
    <n v="4.0500000000000001E-2"/>
    <m/>
    <m/>
    <n v="2.8330000000000002"/>
    <m/>
    <m/>
  </r>
  <r>
    <s v="COTTON BABY UL.SOFT CREAM ALC.FREE W 120"/>
    <x v="22"/>
    <x v="25"/>
    <x v="0"/>
    <x v="2"/>
    <x v="3"/>
    <n v="0.76770000000000005"/>
    <m/>
    <m/>
    <n v="46.441400000000002"/>
    <m/>
    <m/>
  </r>
  <r>
    <s v="COTTON BABY PH5.5 AL.FREE W 90 BAG KAPAK"/>
    <x v="22"/>
    <x v="25"/>
    <x v="0"/>
    <x v="1"/>
    <x v="9"/>
    <n v="0.86809999999999998"/>
    <m/>
    <m/>
    <n v="43.337600000000002"/>
    <m/>
    <m/>
  </r>
  <r>
    <s v="MIMI NICE BABY PH5.5 W 15 BAG"/>
    <x v="22"/>
    <x v="26"/>
    <x v="0"/>
    <x v="1"/>
    <x v="4"/>
    <n v="9.5548999999999999"/>
    <n v="16.797000000000001"/>
    <n v="14.8012"/>
    <n v="338.9522"/>
    <n v="643.8528"/>
    <n v="454.05590000000001"/>
  </r>
  <r>
    <s v="MY COMFORT BABY ANGEL PH5.5 W 120 BAG"/>
    <x v="22"/>
    <x v="27"/>
    <x v="0"/>
    <x v="1"/>
    <x v="3"/>
    <n v="21.0763"/>
    <n v="7.9172000000000002"/>
    <n v="0.35720000000000002"/>
    <n v="1178.5386000000001"/>
    <n v="421.82799999999997"/>
    <n v="19.481100000000001"/>
  </r>
  <r>
    <s v="MY COMFORT BABY ARGAN ALK.FREE W 120 BAG"/>
    <x v="22"/>
    <x v="27"/>
    <x v="0"/>
    <x v="2"/>
    <x v="3"/>
    <n v="59.8855"/>
    <n v="18.673500000000001"/>
    <n v="4.4382000000000001"/>
    <n v="3588.4739"/>
    <n v="1054.2443000000001"/>
    <n v="241.28020000000001"/>
  </r>
  <r>
    <s v="NICEBABY PROVITB5&amp;VITE PH5.5 W 120 BAG"/>
    <x v="22"/>
    <x v="28"/>
    <x v="0"/>
    <x v="1"/>
    <x v="3"/>
    <n v="37.596899999999998"/>
    <n v="28.031099999999999"/>
    <n v="1.2394000000000001"/>
    <n v="2231.0284000000001"/>
    <n v="1606.1090999999999"/>
    <n v="64.665899999999993"/>
  </r>
  <r>
    <s v="WINEX BABY PH5.5 W 72 BAG"/>
    <x v="22"/>
    <x v="29"/>
    <x v="0"/>
    <x v="1"/>
    <x v="8"/>
    <n v="4.1798000000000002"/>
    <m/>
    <m/>
    <n v="212.80930000000001"/>
    <m/>
    <m/>
  </r>
  <r>
    <s v="WINEX BABY PROVITB5&amp;VIT.F PH5.5 W 72 BAG"/>
    <x v="22"/>
    <x v="29"/>
    <x v="0"/>
    <x v="1"/>
    <x v="8"/>
    <n v="16.9573"/>
    <n v="8.0383999999999993"/>
    <n v="4.7045000000000003"/>
    <n v="973.13670000000002"/>
    <n v="460.75880000000001"/>
    <n v="246.6643"/>
  </r>
  <r>
    <s v="PADDLERS SOFT&amp;CREAM PROVITB5&amp;VITE W 120"/>
    <x v="23"/>
    <x v="30"/>
    <x v="0"/>
    <x v="2"/>
    <x v="3"/>
    <n v="8.9794"/>
    <m/>
    <m/>
    <n v="618.46879999999999"/>
    <m/>
    <m/>
  </r>
  <r>
    <s v="PURE BABY JUMBO PH5.5 W 120 BAG"/>
    <x v="24"/>
    <x v="31"/>
    <x v="0"/>
    <x v="1"/>
    <x v="3"/>
    <m/>
    <n v="9.4999999999999998E-3"/>
    <m/>
    <m/>
    <n v="0.51649999999999996"/>
    <m/>
  </r>
  <r>
    <s v="SLEEPY BABY SENSITIVE 110 W BAG KAPAK"/>
    <x v="24"/>
    <x v="32"/>
    <x v="0"/>
    <x v="3"/>
    <x v="17"/>
    <n v="0.34189999999999998"/>
    <m/>
    <m/>
    <n v="17.095199999999998"/>
    <m/>
    <m/>
  </r>
  <r>
    <s v="SLEEPY BABY APPLE AL.FREE W 120 BAG"/>
    <x v="24"/>
    <x v="32"/>
    <x v="0"/>
    <x v="2"/>
    <x v="3"/>
    <m/>
    <n v="36.513300000000001"/>
    <n v="9.9184000000000001"/>
    <m/>
    <n v="2225.7903999999999"/>
    <n v="665.84569999999997"/>
  </r>
  <r>
    <s v="SLEEPY BABY LEMON AL.FREE W 120 BAG"/>
    <x v="24"/>
    <x v="32"/>
    <x v="0"/>
    <x v="2"/>
    <x v="3"/>
    <m/>
    <n v="28.314"/>
    <n v="9.1574000000000009"/>
    <m/>
    <n v="1712.6693"/>
    <n v="592.38390000000004"/>
  </r>
  <r>
    <s v="SLEEPY BABY ORANGE AL.FREE W 120 BAG"/>
    <x v="24"/>
    <x v="32"/>
    <x v="0"/>
    <x v="2"/>
    <x v="3"/>
    <m/>
    <n v="24.999500000000001"/>
    <n v="5.0659999999999998"/>
    <m/>
    <n v="1534.4268"/>
    <n v="349.95659999999998"/>
  </r>
  <r>
    <s v="SLEEPY BABY PH5.5 120 W BAG KAPAK"/>
    <x v="24"/>
    <x v="32"/>
    <x v="0"/>
    <x v="1"/>
    <x v="3"/>
    <n v="25.1"/>
    <n v="61.22"/>
    <n v="8.9021000000000008"/>
    <n v="1136.2986000000001"/>
    <n v="3402.5661"/>
    <n v="613.3809"/>
  </r>
  <r>
    <s v="SLEEPY STRAWBERRY BABY AL.FREE 120 W BAG"/>
    <x v="24"/>
    <x v="32"/>
    <x v="0"/>
    <x v="2"/>
    <x v="3"/>
    <m/>
    <n v="18.822399999999998"/>
    <n v="7.1738"/>
    <m/>
    <n v="1176.8929000000001"/>
    <n v="487.85019999999997"/>
  </r>
  <r>
    <s v="SLEEPY BABY MIXED FRUIT PH5.5 15 W BAG"/>
    <x v="24"/>
    <x v="32"/>
    <x v="0"/>
    <x v="1"/>
    <x v="4"/>
    <n v="1.24"/>
    <n v="2.9891000000000001"/>
    <n v="0.81240000000000001"/>
    <n v="69.486800000000002"/>
    <n v="154.24979999999999"/>
    <n v="41.637500000000003"/>
  </r>
  <r>
    <s v="SLEEPY BABY PH5.5 70 W BAG"/>
    <x v="24"/>
    <x v="32"/>
    <x v="0"/>
    <x v="1"/>
    <x v="18"/>
    <n v="1.1599999999999999"/>
    <n v="1.8923000000000001"/>
    <m/>
    <n v="44.862200000000001"/>
    <n v="87.694800000000001"/>
    <m/>
  </r>
  <r>
    <s v="SLEEPY  FreshClean 90 W BAG KAPAK"/>
    <x v="24"/>
    <x v="32"/>
    <x v="0"/>
    <x v="0"/>
    <x v="9"/>
    <m/>
    <n v="14.477"/>
    <n v="3.1046999999999998"/>
    <m/>
    <n v="762.29949999999997"/>
    <n v="149.91970000000001"/>
  </r>
  <r>
    <s v="YESS BABY ALC.FREE W 120 BAG"/>
    <x v="24"/>
    <x v="33"/>
    <x v="0"/>
    <x v="2"/>
    <x v="3"/>
    <n v="0.25940000000000002"/>
    <n v="47.287300000000002"/>
    <n v="13.3363"/>
    <n v="15.5664"/>
    <n v="2338.1842000000001"/>
    <n v="671.9117"/>
  </r>
  <r>
    <s v="YESS BABY ALC.FREE W 15 BAG"/>
    <x v="24"/>
    <x v="33"/>
    <x v="0"/>
    <x v="2"/>
    <x v="4"/>
    <m/>
    <n v="5.6702000000000004"/>
    <n v="10.135199999999999"/>
    <m/>
    <n v="206.95869999999999"/>
    <n v="365.12360000000001"/>
  </r>
  <r>
    <s v="ELAN SENS.CREAM LOTION W 120 BAG ZELENI"/>
    <x v="25"/>
    <x v="34"/>
    <x v="0"/>
    <x v="3"/>
    <x v="3"/>
    <m/>
    <n v="82.250100000000003"/>
    <n v="55.842500000000001"/>
    <m/>
    <n v="5284.8972000000003"/>
    <n v="3137.2123999999999"/>
  </r>
  <r>
    <s v="LAN SENS.CREAM LOTION 120 BAG LILAVI"/>
    <x v="25"/>
    <x v="34"/>
    <x v="0"/>
    <x v="3"/>
    <x v="3"/>
    <m/>
    <n v="88.414900000000003"/>
    <n v="45.6905"/>
    <m/>
    <n v="5662.4585999999999"/>
    <n v="2576.6464000000001"/>
  </r>
  <r>
    <s v="SETABLU OAT EXTRACT PH5.5 W 72 BAG KAPAK"/>
    <x v="26"/>
    <x v="35"/>
    <x v="0"/>
    <x v="1"/>
    <x v="8"/>
    <n v="0.24010000000000001"/>
    <m/>
    <m/>
    <n v="10.8056"/>
    <m/>
    <m/>
  </r>
  <r>
    <s v="LIBERO ALOE ALC.FREE W 20 BAG"/>
    <x v="27"/>
    <x v="36"/>
    <x v="0"/>
    <x v="2"/>
    <x v="0"/>
    <n v="8.8999999999999999E-3"/>
    <n v="1.9E-3"/>
    <m/>
    <n v="0.1"/>
    <n v="0.02"/>
    <m/>
  </r>
  <r>
    <s v="LIBERO ALOE&amp;CHAMOMILE W 20 BAG"/>
    <x v="27"/>
    <x v="36"/>
    <x v="0"/>
    <x v="2"/>
    <x v="0"/>
    <n v="3.6436000000000002"/>
    <n v="0.20610000000000001"/>
    <n v="0.1404"/>
    <n v="40.526699999999998"/>
    <n v="2.1286999999999998"/>
    <n v="1.4401999999999999"/>
  </r>
  <r>
    <s v="LIBERO ALOE&amp;CHAMOMILE W 4X64 BAG"/>
    <x v="27"/>
    <x v="36"/>
    <x v="0"/>
    <x v="2"/>
    <x v="7"/>
    <n v="4.9200000000000001E-2"/>
    <n v="1.14E-2"/>
    <m/>
    <n v="3.4851000000000001"/>
    <n v="0.25600000000000001"/>
    <m/>
  </r>
  <r>
    <s v="LIBERO ALOE&amp;CHAMOMILE W 64 BAG"/>
    <x v="27"/>
    <x v="36"/>
    <x v="0"/>
    <x v="2"/>
    <x v="7"/>
    <n v="4.9882"/>
    <n v="0.97860000000000003"/>
    <m/>
    <n v="116.9594"/>
    <n v="26.678799999999999"/>
    <m/>
  </r>
  <r>
    <s v="EVY BABY SOFT CHAMOMILE ALC.FREE W50 BAG"/>
    <x v="28"/>
    <x v="37"/>
    <x v="0"/>
    <x v="2"/>
    <x v="10"/>
    <m/>
    <m/>
    <n v="0.16420000000000001"/>
    <m/>
    <m/>
    <n v="5.0327000000000002"/>
  </r>
  <r>
    <s v="EVY BABY SOFT CHAMOMILE EXTRACT W 56 BAG"/>
    <x v="28"/>
    <x v="37"/>
    <x v="0"/>
    <x v="2"/>
    <x v="6"/>
    <n v="2.3513000000000002"/>
    <n v="13.7189"/>
    <n v="5.1338999999999997"/>
    <n v="93.938999999999993"/>
    <n v="476.75330000000002"/>
    <n v="161.36660000000001"/>
  </r>
  <r>
    <s v="EVY BABY CREAMY ALOE VERA MOIST W 60 BAG"/>
    <x v="28"/>
    <x v="37"/>
    <x v="0"/>
    <x v="2"/>
    <x v="11"/>
    <n v="7.0484"/>
    <n v="24.545400000000001"/>
    <n v="7.2644000000000002"/>
    <n v="315.70249999999999"/>
    <n v="945.68759999999997"/>
    <n v="273.77960000000002"/>
  </r>
  <r>
    <s v="EVY BABY SOFT CHAMOMILE EXTRACT W 60 BAG"/>
    <x v="28"/>
    <x v="37"/>
    <x v="0"/>
    <x v="2"/>
    <x v="11"/>
    <n v="6.2529000000000003"/>
    <m/>
    <m/>
    <n v="300.22300000000001"/>
    <m/>
    <m/>
  </r>
  <r>
    <s v="FEMOLE FRESH VITE PH5.5 W 72 BAG CHERVEN"/>
    <x v="29"/>
    <x v="38"/>
    <x v="0"/>
    <x v="1"/>
    <x v="8"/>
    <n v="1.6668000000000001"/>
    <n v="3.7600000000000001E-2"/>
    <m/>
    <n v="75.837299999999999"/>
    <n v="1.6555"/>
    <m/>
  </r>
  <r>
    <s v="FEMOLE FRESHBABY VITE PH5.5 W 72 BAG SIN"/>
    <x v="29"/>
    <x v="38"/>
    <x v="0"/>
    <x v="1"/>
    <x v="8"/>
    <n v="7.5975000000000001"/>
    <n v="0.1353"/>
    <n v="3.0000000000000001E-3"/>
    <n v="283.12259999999998"/>
    <n v="3.3016999999999999"/>
    <n v="7.1999999999999995E-2"/>
  </r>
  <r>
    <s v="BERFINY CLASSIC BABY W 72 BAG"/>
    <x v="30"/>
    <x v="39"/>
    <x v="0"/>
    <x v="2"/>
    <x v="8"/>
    <n v="2.5741999999999998"/>
    <n v="0.57930000000000004"/>
    <n v="9.0300000000000005E-2"/>
    <n v="138.52269999999999"/>
    <n v="28.2058"/>
    <n v="3.9451999999999998"/>
  </r>
  <r>
    <s v="BERFINY EXTRA BABY W 72 BAG"/>
    <x v="30"/>
    <x v="39"/>
    <x v="0"/>
    <x v="0"/>
    <x v="8"/>
    <m/>
    <n v="3.2000000000000002E-3"/>
    <m/>
    <m/>
    <n v="0.14879999999999999"/>
    <m/>
  </r>
  <r>
    <s v="FRESH RUNY BABY PH5.5 ALC.FREE W 120 BAG"/>
    <x v="30"/>
    <x v="40"/>
    <x v="0"/>
    <x v="1"/>
    <x v="3"/>
    <n v="29.782299999999999"/>
    <n v="8.0821000000000005"/>
    <n v="2.2058"/>
    <n v="1812.3146999999999"/>
    <n v="442.9864"/>
    <n v="129.73259999999999"/>
  </r>
  <r>
    <s v="FRESH RUNY BABY MILK&amp;HONEY W 64 BAG"/>
    <x v="30"/>
    <x v="40"/>
    <x v="0"/>
    <x v="0"/>
    <x v="7"/>
    <n v="0.4194"/>
    <n v="0.27539999999999998"/>
    <n v="7.5600000000000001E-2"/>
    <n v="22.036999999999999"/>
    <n v="13.908200000000001"/>
    <n v="3.7229000000000001"/>
  </r>
  <r>
    <s v="FRESH MAKER BABY PH5.5 W 120 BAG JUMBO"/>
    <x v="30"/>
    <x v="41"/>
    <x v="0"/>
    <x v="1"/>
    <x v="3"/>
    <n v="393.93759999999997"/>
    <n v="316.5532"/>
    <n v="120.4361"/>
    <n v="20334.628400000001"/>
    <n v="15456.115599999999"/>
    <n v="5660.8364000000001"/>
  </r>
  <r>
    <s v="FRESH MAKER BABY CREAM W 120/48FREE BAG"/>
    <x v="30"/>
    <x v="41"/>
    <x v="0"/>
    <x v="1"/>
    <x v="8"/>
    <n v="11.008699999999999"/>
    <m/>
    <m/>
    <n v="653.37990000000002"/>
    <m/>
    <m/>
  </r>
  <r>
    <s v="FRESH MAKER BABY CREAM W 72 BAG"/>
    <x v="30"/>
    <x v="41"/>
    <x v="0"/>
    <x v="1"/>
    <x v="8"/>
    <n v="6.3380999999999998"/>
    <n v="2.2010000000000001"/>
    <n v="4.9340999999999999"/>
    <n v="360.70839999999998"/>
    <n v="122.7465"/>
    <n v="260.16239999999999"/>
  </r>
  <r>
    <s v="FRESH MAKER BABY CREAM W 72 BAG KAPAK"/>
    <x v="30"/>
    <x v="41"/>
    <x v="0"/>
    <x v="1"/>
    <x v="8"/>
    <n v="17.2865"/>
    <n v="3.1953"/>
    <m/>
    <n v="1104.6166000000001"/>
    <n v="157.0744"/>
    <m/>
  </r>
  <r>
    <s v="FRESH MAKER BABY CREAM W 96/24FREE BAG"/>
    <x v="30"/>
    <x v="41"/>
    <x v="0"/>
    <x v="0"/>
    <x v="8"/>
    <n v="8.3360000000000003"/>
    <n v="4.1882999999999999"/>
    <n v="0.16869999999999999"/>
    <n v="355.34039999999999"/>
    <n v="181.6489"/>
    <n v="7.0335999999999999"/>
  </r>
  <r>
    <s v="FRESH MAKER BABY W 72 BAG"/>
    <x v="30"/>
    <x v="41"/>
    <x v="0"/>
    <x v="2"/>
    <x v="8"/>
    <n v="10.51"/>
    <n v="23.858699999999999"/>
    <n v="12.9741"/>
    <n v="602.08569999999997"/>
    <n v="1188.0914"/>
    <n v="658.29200000000003"/>
  </r>
  <r>
    <s v="FRESH MAKER BABY WITH CREAM W 72 BAG"/>
    <x v="30"/>
    <x v="41"/>
    <x v="0"/>
    <x v="1"/>
    <x v="8"/>
    <n v="0.1246"/>
    <m/>
    <n v="4.1500000000000002E-2"/>
    <n v="7.4763999999999999"/>
    <m/>
    <n v="3.0169000000000001"/>
  </r>
  <r>
    <s v="FRESH MAKER ALOE VERA PH5.5 W 90 BAG"/>
    <x v="30"/>
    <x v="41"/>
    <x v="0"/>
    <x v="1"/>
    <x v="9"/>
    <m/>
    <n v="1.9545999999999999"/>
    <n v="2.1882000000000001"/>
    <m/>
    <n v="80.589100000000002"/>
    <n v="78.875"/>
  </r>
  <r>
    <s v="FRESH MAKER SENSITIVE ALC.FREE W 90 BAG"/>
    <x v="30"/>
    <x v="41"/>
    <x v="0"/>
    <x v="3"/>
    <x v="9"/>
    <n v="4.02E-2"/>
    <m/>
    <n v="5.1000000000000004E-3"/>
    <n v="1.9040999999999999"/>
    <m/>
    <n v="0.1958"/>
  </r>
  <r>
    <s v="HAPPY ALOE VERA W 100 BAG KAPAK"/>
    <x v="30"/>
    <x v="42"/>
    <x v="0"/>
    <x v="1"/>
    <x v="2"/>
    <m/>
    <n v="6.88E-2"/>
    <n v="1.5603"/>
    <m/>
    <n v="2.9011"/>
    <n v="56.070300000000003"/>
  </r>
  <r>
    <s v="KIDS BABY WET WIPES W 72 BAG KAPACHE"/>
    <x v="30"/>
    <x v="43"/>
    <x v="0"/>
    <x v="1"/>
    <x v="8"/>
    <n v="225.05289999999999"/>
    <n v="160.9256"/>
    <n v="66.089799999999997"/>
    <n v="14096.87"/>
    <n v="9843.2201000000005"/>
    <n v="3643.3836000000001"/>
  </r>
  <r>
    <s v="LIO FRESH BABY CREAM LOTION W 72 BAG"/>
    <x v="30"/>
    <x v="44"/>
    <x v="0"/>
    <x v="2"/>
    <x v="8"/>
    <n v="27.677700000000002"/>
    <n v="22.1416"/>
    <n v="9.0610999999999997"/>
    <n v="1974.3932"/>
    <n v="1482.2675999999999"/>
    <n v="601.1807"/>
  </r>
  <r>
    <s v="NEMDIL BABY ROSE W 120 BAG KAPAK"/>
    <x v="30"/>
    <x v="45"/>
    <x v="0"/>
    <x v="2"/>
    <x v="3"/>
    <n v="41.221899999999998"/>
    <n v="44.201300000000003"/>
    <n v="20.616900000000001"/>
    <n v="1922.9742000000001"/>
    <n v="2020.3897999999999"/>
    <n v="923.72320000000002"/>
  </r>
  <r>
    <s v="NEMDIL BABY WITH CREAM W 120 BAG KAPAK"/>
    <x v="30"/>
    <x v="45"/>
    <x v="0"/>
    <x v="2"/>
    <x v="3"/>
    <n v="41.486600000000003"/>
    <n v="73.395700000000005"/>
    <n v="40.033299999999997"/>
    <n v="2454.0007999999998"/>
    <n v="4307.1679999999997"/>
    <n v="2180.9749000000002"/>
  </r>
  <r>
    <s v="NEMDIL BABY ALCOHOL FREE W 72 BAG"/>
    <x v="30"/>
    <x v="45"/>
    <x v="0"/>
    <x v="2"/>
    <x v="8"/>
    <m/>
    <m/>
    <n v="0.36020000000000002"/>
    <m/>
    <m/>
    <n v="18.523700000000002"/>
  </r>
  <r>
    <s v="NEMDIL BABY OLIVE OIL CAMOMILE W 72 BAG"/>
    <x v="30"/>
    <x v="45"/>
    <x v="0"/>
    <x v="0"/>
    <x v="8"/>
    <n v="50.296300000000002"/>
    <n v="34.107599999999998"/>
    <n v="15.9543"/>
    <n v="3350.8564000000001"/>
    <n v="2178.5326"/>
    <n v="866.22"/>
  </r>
  <r>
    <s v="NEMDIL BABYDELUXEALOE&amp;MIK&amp;HONEY W 72KAPA"/>
    <x v="30"/>
    <x v="45"/>
    <x v="0"/>
    <x v="0"/>
    <x v="8"/>
    <n v="5.0095999999999998"/>
    <n v="5.5152000000000001"/>
    <n v="4.4993999999999996"/>
    <n v="141.5444"/>
    <n v="154.2473"/>
    <n v="124.59650000000001"/>
  </r>
  <r>
    <s v="PREMIUM QUALITY BABY W 72 BAG &amp;&amp;&amp;"/>
    <x v="30"/>
    <x v="46"/>
    <x v="0"/>
    <x v="2"/>
    <x v="8"/>
    <n v="4.6416000000000004"/>
    <n v="5.1684999999999999"/>
    <n v="0.78010000000000002"/>
    <n v="142.55420000000001"/>
    <n v="145.93899999999999"/>
    <n v="21.435099999999998"/>
  </r>
  <r>
    <s v="PURE BABY LILIUM W 120 BAG KAPAK"/>
    <x v="30"/>
    <x v="31"/>
    <x v="0"/>
    <x v="2"/>
    <x v="3"/>
    <n v="137.1788"/>
    <n v="116.5658"/>
    <n v="65.912899999999993"/>
    <n v="7929.3796000000002"/>
    <n v="6740.5910999999996"/>
    <n v="3524.3125"/>
  </r>
  <r>
    <s v="NAPEEZBYGRACIA BABY PH5.5 100 BAG KAPAK"/>
    <x v="31"/>
    <x v="47"/>
    <x v="0"/>
    <x v="1"/>
    <x v="2"/>
    <n v="14.2293"/>
    <n v="21.789000000000001"/>
    <n v="7.9466000000000001"/>
    <n v="761.61429999999996"/>
    <n v="1129.7994000000001"/>
    <n v="412.24349999999998"/>
  </r>
  <r>
    <s v="MIKE LINE SENSIT.CREAM LOTION W 72 BAG"/>
    <x v="32"/>
    <x v="48"/>
    <x v="0"/>
    <x v="3"/>
    <x v="8"/>
    <n v="7.4866999999999999"/>
    <n v="1.5100000000000001E-2"/>
    <m/>
    <n v="509.18150000000003"/>
    <n v="0.77590000000000003"/>
    <m/>
  </r>
  <r>
    <s v="PRIME TALKO SENSITIVE 63 BAG KAPAK"/>
    <x v="33"/>
    <x v="49"/>
    <x v="0"/>
    <x v="3"/>
    <x v="15"/>
    <n v="1.3945000000000001"/>
    <m/>
    <m/>
    <n v="67.202299999999994"/>
    <m/>
    <m/>
  </r>
  <r>
    <s v="PRIME BABY ALC.FREE 72 BAG KAPAK"/>
    <x v="33"/>
    <x v="49"/>
    <x v="0"/>
    <x v="2"/>
    <x v="8"/>
    <n v="7.7927999999999997"/>
    <m/>
    <m/>
    <n v="362.96660000000003"/>
    <m/>
    <m/>
  </r>
  <r>
    <s v="PONKY BABY W 72 BAG +KAPACHE"/>
    <x v="34"/>
    <x v="50"/>
    <x v="0"/>
    <x v="0"/>
    <x v="8"/>
    <n v="63.770400000000002"/>
    <n v="23.340299999999999"/>
    <n v="11.8607"/>
    <n v="2545.3452000000002"/>
    <n v="949.45609999999999"/>
    <n v="459.19099999999997"/>
  </r>
  <r>
    <s v="PONKY BABY WET TOWEL W 72 BAG ZHALTI"/>
    <x v="34"/>
    <x v="50"/>
    <x v="0"/>
    <x v="2"/>
    <x v="8"/>
    <n v="12.7019"/>
    <n v="13.0259"/>
    <n v="5.5613999999999999"/>
    <n v="553.99599999999998"/>
    <n v="562.68320000000006"/>
    <n v="225.62440000000001"/>
  </r>
  <r>
    <s v="POZZY EXTRA MILK&amp;HONEY PH5.5 W 72 BAG"/>
    <x v="34"/>
    <x v="51"/>
    <x v="0"/>
    <x v="1"/>
    <x v="8"/>
    <n v="0.59"/>
    <m/>
    <m/>
    <n v="18.470099999999999"/>
    <m/>
    <m/>
  </r>
  <r>
    <s v="POZZY EXTRA OLIVE OIL ALC.FREE W 72 BAG"/>
    <x v="34"/>
    <x v="51"/>
    <x v="0"/>
    <x v="2"/>
    <x v="8"/>
    <n v="0.59"/>
    <m/>
    <m/>
    <n v="18.470099999999999"/>
    <m/>
    <m/>
  </r>
  <r>
    <s v="CLEANIC BABY ATOPICAL D-PANT. PH 50 BAG"/>
    <x v="35"/>
    <x v="52"/>
    <x v="0"/>
    <x v="4"/>
    <x v="10"/>
    <m/>
    <n v="1.1446000000000001"/>
    <n v="0.29039999999999999"/>
    <m/>
    <n v="11.6808"/>
    <n v="3.3864000000000001"/>
  </r>
  <r>
    <s v="CLEANIC BABY PROBIOTICAL HYPOAL.50 BAG"/>
    <x v="35"/>
    <x v="52"/>
    <x v="0"/>
    <x v="4"/>
    <x v="10"/>
    <m/>
    <n v="0.49220000000000003"/>
    <n v="0.1164"/>
    <m/>
    <n v="4.2202000000000002"/>
    <n v="0.85"/>
  </r>
  <r>
    <s v="CLEANIC BABY VEGEMILK VIT&amp;MIN.50 BAG"/>
    <x v="35"/>
    <x v="52"/>
    <x v="0"/>
    <x v="1"/>
    <x v="10"/>
    <m/>
    <n v="1.4152"/>
    <n v="0.3513"/>
    <m/>
    <n v="20.5671"/>
    <n v="6.5918999999999999"/>
  </r>
  <r>
    <s v="PETINO DELICATO&amp;FRESH ALANTOIN 120 BAG"/>
    <x v="35"/>
    <x v="53"/>
    <x v="0"/>
    <x v="0"/>
    <x v="3"/>
    <n v="6.1999999999999998E-3"/>
    <n v="21.155899999999999"/>
    <n v="10.029400000000001"/>
    <n v="0.32569999999999999"/>
    <n v="1092.0349000000001"/>
    <n v="489.28280000000001"/>
  </r>
  <r>
    <s v="PETINO DELICATO&amp;FRESH ALANTOIN 84/12FR"/>
    <x v="35"/>
    <x v="53"/>
    <x v="0"/>
    <x v="0"/>
    <x v="8"/>
    <n v="230.74209999999999"/>
    <n v="277.85789999999997"/>
    <n v="133.2149"/>
    <n v="11792.3397"/>
    <n v="14416.314700000001"/>
    <n v="6626.5474000000004"/>
  </r>
  <r>
    <s v="MOLFIX BABY COTTON PH5.5 W 50 BAG HAYAT"/>
    <x v="36"/>
    <x v="54"/>
    <x v="0"/>
    <x v="1"/>
    <x v="10"/>
    <n v="0.37059999999999998"/>
    <n v="0.24890000000000001"/>
    <m/>
    <n v="9.2727000000000004"/>
    <n v="7.0415000000000001"/>
    <m/>
  </r>
  <r>
    <s v="MOLFIX BABY IZOT.WATER PANT.&amp;LAN.W 60 BA"/>
    <x v="36"/>
    <x v="54"/>
    <x v="0"/>
    <x v="1"/>
    <x v="11"/>
    <n v="29.4162"/>
    <n v="107.9663"/>
    <n v="52.6723"/>
    <n v="866.39819999999997"/>
    <n v="3176.0981999999999"/>
    <n v="1396.3396"/>
  </r>
  <r>
    <s v="MOLFIX BABY LOTION ISO.WATER W 3X60 BAG"/>
    <x v="36"/>
    <x v="54"/>
    <x v="0"/>
    <x v="1"/>
    <x v="11"/>
    <n v="2.2702"/>
    <n v="6.8476999999999997"/>
    <n v="4.3963000000000001"/>
    <n v="71.277600000000007"/>
    <n v="210.60059999999999"/>
    <n v="121.2728"/>
  </r>
  <r>
    <s v="MOLFIX BABY LOTION PH5.5 W 60 BAG HAYAT"/>
    <x v="36"/>
    <x v="54"/>
    <x v="0"/>
    <x v="1"/>
    <x v="11"/>
    <n v="296.26589999999999"/>
    <n v="290.55259999999998"/>
    <n v="128.1713"/>
    <n v="8749.3634000000002"/>
    <n v="8593.8201000000008"/>
    <n v="3618.6093999999998"/>
  </r>
  <r>
    <s v="MOLFIX BABY LOTION W 3X60 BAG HAYAT"/>
    <x v="36"/>
    <x v="54"/>
    <x v="0"/>
    <x v="1"/>
    <x v="11"/>
    <n v="2.9716999999999998"/>
    <n v="0.47810000000000002"/>
    <n v="0.26490000000000002"/>
    <n v="93.2804"/>
    <n v="14.5885"/>
    <n v="7.5808999999999997"/>
  </r>
  <r>
    <s v="MOLFIX BABY LOTION W 3X63 BAG HAYAT"/>
    <x v="36"/>
    <x v="54"/>
    <x v="0"/>
    <x v="1"/>
    <x v="15"/>
    <n v="0.21840000000000001"/>
    <m/>
    <m/>
    <n v="7.3784000000000001"/>
    <m/>
    <m/>
  </r>
  <r>
    <s v="MOLFIX BABY W 63 BAG HAYAT"/>
    <x v="36"/>
    <x v="54"/>
    <x v="0"/>
    <x v="0"/>
    <x v="15"/>
    <n v="0.50360000000000005"/>
    <m/>
    <m/>
    <n v="14.988200000000001"/>
    <m/>
    <m/>
  </r>
  <r>
    <s v="HIMALAYA ALOE VERA&amp;INDIANLOTUS W 20 BAG"/>
    <x v="37"/>
    <x v="55"/>
    <x v="0"/>
    <x v="5"/>
    <x v="0"/>
    <n v="0.17610000000000001"/>
    <n v="1.0699999999999999E-2"/>
    <m/>
    <n v="3.1602000000000001"/>
    <n v="0.19450000000000001"/>
    <m/>
  </r>
  <r>
    <s v="HIMALAYA SOOTHING&amp;PROTECTINGBABY W 20BAG"/>
    <x v="37"/>
    <x v="55"/>
    <x v="0"/>
    <x v="5"/>
    <x v="0"/>
    <n v="0.50239999999999996"/>
    <n v="6.6451000000000002"/>
    <m/>
    <n v="10.56"/>
    <n v="115.3312"/>
    <m/>
  </r>
  <r>
    <s v="HIMALAYA ALOE VERA&amp;INDIANLOTUS W 56 BAG"/>
    <x v="37"/>
    <x v="55"/>
    <x v="0"/>
    <x v="5"/>
    <x v="6"/>
    <n v="0.31990000000000002"/>
    <m/>
    <m/>
    <n v="7.3638000000000003"/>
    <m/>
    <m/>
  </r>
  <r>
    <s v="HIMALAYA SOOTHING&amp;PROTECTINGBABY W 56BAG"/>
    <x v="37"/>
    <x v="55"/>
    <x v="0"/>
    <x v="5"/>
    <x v="6"/>
    <n v="3.0116000000000001"/>
    <m/>
    <m/>
    <n v="62.468000000000004"/>
    <m/>
    <m/>
  </r>
  <r>
    <s v="HIPP BABY SANFT ALMOND PH5.5 W 10 BAG"/>
    <x v="38"/>
    <x v="56"/>
    <x v="0"/>
    <x v="1"/>
    <x v="19"/>
    <n v="1.7111000000000001"/>
    <n v="0.48920000000000002"/>
    <n v="7.6600000000000001E-2"/>
    <n v="14.330299999999999"/>
    <n v="3.8454999999999999"/>
    <n v="0.62309999999999999"/>
  </r>
  <r>
    <s v="HIPP BABY ULTRASENSITIVE MANDEL W 52 BAG"/>
    <x v="38"/>
    <x v="56"/>
    <x v="0"/>
    <x v="3"/>
    <x v="20"/>
    <n v="88.057900000000004"/>
    <n v="26.767399999999999"/>
    <n v="2.3372999999999999"/>
    <n v="2166.7952"/>
    <n v="614.64589999999998"/>
    <n v="48.202599999999997"/>
  </r>
  <r>
    <s v="HIPP BABY ALMOND W 56 BAG"/>
    <x v="38"/>
    <x v="56"/>
    <x v="0"/>
    <x v="0"/>
    <x v="6"/>
    <n v="1.0826"/>
    <n v="0.79220000000000002"/>
    <m/>
    <n v="19.760000000000002"/>
    <n v="17.024000000000001"/>
    <m/>
  </r>
  <r>
    <s v="HIPP BABY GENTLE CARING W 56 BAG"/>
    <x v="38"/>
    <x v="56"/>
    <x v="0"/>
    <x v="1"/>
    <x v="6"/>
    <n v="0.44109999999999999"/>
    <n v="0.41260000000000002"/>
    <n v="4.5600000000000002E-2"/>
    <n v="8.4567999999999994"/>
    <n v="6.601"/>
    <n v="0.72929999999999995"/>
  </r>
  <r>
    <s v="HIPP BABY SANFT FEUCHT TUCHER W 56 BAG"/>
    <x v="38"/>
    <x v="56"/>
    <x v="0"/>
    <x v="3"/>
    <x v="6"/>
    <n v="2.1700000000000001E-2"/>
    <m/>
    <m/>
    <n v="0.48470000000000002"/>
    <m/>
    <m/>
  </r>
  <r>
    <s v="HIPP BABYSANFT BIOMANDELEXT.W 2X56+POD."/>
    <x v="38"/>
    <x v="56"/>
    <x v="0"/>
    <x v="1"/>
    <x v="6"/>
    <n v="1.675"/>
    <n v="2.4634999999999998"/>
    <n v="0.86060000000000003"/>
    <n v="31.331099999999999"/>
    <n v="43.584000000000003"/>
    <n v="15.645899999999999"/>
  </r>
  <r>
    <s v="HIPP BABYSANFT BIOMANDELEXTR. W 2X56 BAG"/>
    <x v="38"/>
    <x v="56"/>
    <x v="0"/>
    <x v="1"/>
    <x v="6"/>
    <n v="9.3126999999999995"/>
    <n v="6.4108999999999998"/>
    <n v="5.0708000000000002"/>
    <n v="206.11410000000001"/>
    <n v="126.16"/>
    <n v="101.6622"/>
  </r>
  <r>
    <s v="HIPP BABYSANFT BIOMANDELEXTRACT W 56 BAG"/>
    <x v="38"/>
    <x v="56"/>
    <x v="0"/>
    <x v="1"/>
    <x v="6"/>
    <n v="11.1845"/>
    <n v="11.7105"/>
    <n v="3.9420000000000002"/>
    <n v="216.30410000000001"/>
    <n v="238.77709999999999"/>
    <n v="77.523899999999998"/>
  </r>
  <r>
    <s v="BIONIKE TRIDERM BABY CLEANSING 72 BAG"/>
    <x v="39"/>
    <x v="57"/>
    <x v="0"/>
    <x v="4"/>
    <x v="8"/>
    <n v="6.6299999999999998E-2"/>
    <n v="0.12959999999999999"/>
    <n v="7.1499999999999994E-2"/>
    <n v="0.504"/>
    <n v="0.91539999999999999"/>
    <n v="0.52459999999999996"/>
  </r>
  <r>
    <s v="WATERWIPES FRUITEXTR.99.9%WATER W 10 BAG"/>
    <x v="40"/>
    <x v="58"/>
    <x v="0"/>
    <x v="0"/>
    <x v="19"/>
    <n v="0.61529999999999996"/>
    <n v="0.502"/>
    <n v="4.99E-2"/>
    <n v="4.0616000000000003"/>
    <n v="3.2562000000000002"/>
    <n v="0.25269999999999998"/>
  </r>
  <r>
    <s v="WATERWIPES FRUITEXTR.99.9%WATER W 240BAG"/>
    <x v="40"/>
    <x v="58"/>
    <x v="0"/>
    <x v="0"/>
    <x v="21"/>
    <n v="18.4224"/>
    <n v="21.849599999999999"/>
    <n v="15.9329"/>
    <n v="154.90440000000001"/>
    <n v="191.65379999999999"/>
    <n v="151.1"/>
  </r>
  <r>
    <s v="WATERWIPES FRUITEXTR.99.9%WATER W 28 BAG"/>
    <x v="40"/>
    <x v="58"/>
    <x v="0"/>
    <x v="0"/>
    <x v="22"/>
    <n v="1.851"/>
    <n v="2.4146999999999998"/>
    <n v="0.80920000000000003"/>
    <n v="10.083500000000001"/>
    <n v="14.928100000000001"/>
    <n v="5.5830000000000002"/>
  </r>
  <r>
    <s v="WATERWIPES FRUITEXTR.99.9%WATER W 60 BAG"/>
    <x v="40"/>
    <x v="58"/>
    <x v="0"/>
    <x v="0"/>
    <x v="11"/>
    <n v="198.11109999999999"/>
    <n v="233.6309"/>
    <n v="113.3126"/>
    <n v="1569.5084999999999"/>
    <n v="2030.1902"/>
    <n v="989.67420000000004"/>
  </r>
  <r>
    <s v="WATERWIPES SOAPBERRY99.9%WATER W 60 BAG"/>
    <x v="40"/>
    <x v="58"/>
    <x v="0"/>
    <x v="0"/>
    <x v="11"/>
    <n v="1.278"/>
    <n v="13.6012"/>
    <n v="11.1342"/>
    <n v="10.3644"/>
    <n v="118.5029"/>
    <n v="94.131399999999999"/>
  </r>
  <r>
    <s v="PAW PATROL  FreshClean 56 W BAG"/>
    <x v="41"/>
    <x v="59"/>
    <x v="0"/>
    <x v="0"/>
    <x v="6"/>
    <m/>
    <n v="0.2286"/>
    <n v="8.4099999999999994E-2"/>
    <m/>
    <n v="3.6671999999999998"/>
    <n v="1.3489"/>
  </r>
  <r>
    <s v="PEPPA PIG BABY MUDDY PUDDLE 56 W BAG"/>
    <x v="41"/>
    <x v="60"/>
    <x v="0"/>
    <x v="0"/>
    <x v="6"/>
    <m/>
    <n v="0.22009999999999999"/>
    <n v="0.1012"/>
    <m/>
    <n v="3.5211000000000001"/>
    <n v="1.6187"/>
  </r>
  <r>
    <s v="JOHNSONS BABY GENTLE ALL OVER W 20 BAG"/>
    <x v="42"/>
    <x v="61"/>
    <x v="0"/>
    <x v="5"/>
    <x v="0"/>
    <n v="0.3851"/>
    <n v="0.10680000000000001"/>
    <m/>
    <n v="4.9682000000000004"/>
    <n v="1.3105"/>
    <m/>
  </r>
  <r>
    <s v="JOHNSONS BAB COT.TOU SEN.W56+BOD+SHG+IGR"/>
    <x v="42"/>
    <x v="61"/>
    <x v="0"/>
    <x v="3"/>
    <x v="6"/>
    <n v="1.0960000000000001"/>
    <n v="0.3664"/>
    <n v="5.7799999999999997E-2"/>
    <n v="13.8332"/>
    <n v="3.4159999999999999"/>
    <n v="0.48"/>
  </r>
  <r>
    <s v="JOHNSONS BABY COTTON TOUCH SENS.W 56 BAG"/>
    <x v="42"/>
    <x v="61"/>
    <x v="0"/>
    <x v="3"/>
    <x v="6"/>
    <n v="8.1957000000000004"/>
    <n v="0.14119999999999999"/>
    <n v="1.1000000000000001E-3"/>
    <n v="213.62710000000001"/>
    <n v="2.6021999999999998"/>
    <n v="1.6E-2"/>
  </r>
  <r>
    <s v="JOHNSONS BABY GENTLE ALL OVER W 3X56 BAG"/>
    <x v="42"/>
    <x v="61"/>
    <x v="0"/>
    <x v="5"/>
    <x v="6"/>
    <n v="2.8999999999999998E-3"/>
    <m/>
    <m/>
    <n v="0.17960000000000001"/>
    <m/>
    <m/>
  </r>
  <r>
    <s v="JOHNSONS BABY SILK EXTRACT W 56 BAG"/>
    <x v="42"/>
    <x v="61"/>
    <x v="0"/>
    <x v="0"/>
    <x v="6"/>
    <n v="0.22670000000000001"/>
    <m/>
    <m/>
    <n v="4.5189000000000004"/>
    <m/>
    <m/>
  </r>
  <r>
    <s v="JOHNSONS BABY GENTLE ALL OVER W 72 BAG K"/>
    <x v="42"/>
    <x v="61"/>
    <x v="0"/>
    <x v="5"/>
    <x v="8"/>
    <n v="24.499500000000001"/>
    <n v="1.3658999999999999"/>
    <n v="5.9999999999999995E-4"/>
    <n v="789.96360000000004"/>
    <n v="36.531500000000001"/>
    <n v="2.06E-2"/>
  </r>
  <r>
    <s v="JOHNSONS BABY SENSITIVE ALC.FREE W 72 BA"/>
    <x v="42"/>
    <x v="61"/>
    <x v="0"/>
    <x v="3"/>
    <x v="8"/>
    <m/>
    <n v="2.8000000000000001E-2"/>
    <m/>
    <m/>
    <n v="0.80640000000000001"/>
    <m/>
  </r>
  <r>
    <s v="MAIA BABY PURE&amp;SENSITIVE PH5.5 W 72 BAG"/>
    <x v="43"/>
    <x v="62"/>
    <x v="0"/>
    <x v="1"/>
    <x v="8"/>
    <m/>
    <n v="10.2052"/>
    <n v="14.4321"/>
    <m/>
    <n v="569.2527"/>
    <n v="716.4248"/>
  </r>
  <r>
    <s v="KRISPA BABY CAMOMILE W 15 BAG"/>
    <x v="44"/>
    <x v="63"/>
    <x v="0"/>
    <x v="0"/>
    <x v="4"/>
    <n v="1.1900000000000001E-2"/>
    <m/>
    <m/>
    <n v="0.14000000000000001"/>
    <m/>
    <m/>
  </r>
  <r>
    <s v="FRESH'N SOFT WATER&amp;COTTON W 3X40 BAG"/>
    <x v="45"/>
    <x v="64"/>
    <x v="0"/>
    <x v="1"/>
    <x v="5"/>
    <m/>
    <m/>
    <n v="0.69599999999999995"/>
    <m/>
    <m/>
    <n v="11.551500000000001"/>
  </r>
  <r>
    <s v="FRESH'N SOFT CLASSIC PH5.5 W 90 BAG"/>
    <x v="45"/>
    <x v="64"/>
    <x v="0"/>
    <x v="1"/>
    <x v="9"/>
    <n v="0.33289999999999997"/>
    <n v="2.7199999999999998E-2"/>
    <n v="0.74419999999999997"/>
    <n v="16.585699999999999"/>
    <n v="2.2242999999999999"/>
    <n v="24.0091"/>
  </r>
  <r>
    <s v="RENKLY JUMBO CHAMOMILE 120 W BAG KAPAK"/>
    <x v="46"/>
    <x v="65"/>
    <x v="0"/>
    <x v="1"/>
    <x v="3"/>
    <m/>
    <n v="3.2099999999999997E-2"/>
    <n v="0.19070000000000001"/>
    <m/>
    <n v="1.7567999999999999"/>
    <n v="7.8956"/>
  </r>
  <r>
    <s v="RENKLY BABY ALC.FREE W 70 BAG"/>
    <x v="46"/>
    <x v="65"/>
    <x v="0"/>
    <x v="2"/>
    <x v="18"/>
    <m/>
    <m/>
    <n v="2.2185000000000001"/>
    <m/>
    <m/>
    <n v="128.51750000000001"/>
  </r>
  <r>
    <s v="RENKLY BABY ALOE VERA 70 W BAG"/>
    <x v="46"/>
    <x v="65"/>
    <x v="0"/>
    <x v="1"/>
    <x v="18"/>
    <m/>
    <n v="7.0191999999999997"/>
    <n v="7.8216999999999999"/>
    <m/>
    <n v="471.142"/>
    <n v="503.7824"/>
  </r>
  <r>
    <s v="RENKLI BABY ALC.FREE PH5.5 W 72 BAG KAPA"/>
    <x v="46"/>
    <x v="65"/>
    <x v="0"/>
    <x v="1"/>
    <x v="8"/>
    <n v="8.5007999999999999"/>
    <n v="1.8512999999999999"/>
    <n v="0.35020000000000001"/>
    <n v="288.41750000000002"/>
    <n v="66.691299999999998"/>
    <n v="13.4161"/>
  </r>
  <r>
    <s v="RENKLY BABY 72 W BAG"/>
    <x v="46"/>
    <x v="65"/>
    <x v="0"/>
    <x v="1"/>
    <x v="8"/>
    <n v="32.951099999999997"/>
    <n v="14.947100000000001"/>
    <n v="4.2103999999999999"/>
    <n v="1259.2874999999999"/>
    <n v="556.85670000000005"/>
    <n v="163.69149999999999"/>
  </r>
  <r>
    <s v="HUGGIES NATURAL CARE ALOE VERA W 56 BAG"/>
    <x v="47"/>
    <x v="66"/>
    <x v="0"/>
    <x v="2"/>
    <x v="6"/>
    <n v="53.822000000000003"/>
    <n v="66.983199999999997"/>
    <n v="42.143000000000001"/>
    <n v="1325.5655999999999"/>
    <n v="1594.76"/>
    <n v="1015.3249"/>
  </r>
  <r>
    <s v="HUGGIES PURE COTTON WOOL&amp;WATER 56 W BAG"/>
    <x v="47"/>
    <x v="66"/>
    <x v="0"/>
    <x v="2"/>
    <x v="6"/>
    <n v="81.760300000000001"/>
    <n v="83.135000000000005"/>
    <n v="53.412599999999998"/>
    <n v="1959.0420999999999"/>
    <n v="1973.6881000000001"/>
    <n v="1284.8007"/>
  </r>
  <r>
    <s v="HUGGIES SOFT SKIN VIT E 56 BAG"/>
    <x v="47"/>
    <x v="66"/>
    <x v="0"/>
    <x v="2"/>
    <x v="6"/>
    <n v="24.3629"/>
    <n v="18.871200000000002"/>
    <n v="0.95489999999999997"/>
    <n v="571.42309999999998"/>
    <n v="430.0342"/>
    <n v="21.356300000000001"/>
  </r>
  <r>
    <s v="HUGGIES UNISTAR LINGETTES 56 W BAG"/>
    <x v="47"/>
    <x v="66"/>
    <x v="0"/>
    <x v="0"/>
    <x v="6"/>
    <n v="6.2572999999999999"/>
    <n v="18.031600000000001"/>
    <n v="4.2451999999999996"/>
    <n v="140.29249999999999"/>
    <n v="398.21929999999998"/>
    <n v="95.220100000000002"/>
  </r>
  <r>
    <s v="HUGGIES ALOE+VIT E W 64 BAG"/>
    <x v="47"/>
    <x v="66"/>
    <x v="0"/>
    <x v="1"/>
    <x v="7"/>
    <m/>
    <m/>
    <n v="0.16520000000000001"/>
    <m/>
    <m/>
    <n v="4.4053000000000004"/>
  </r>
  <r>
    <s v="HUGGIES BABY UNISTAR W 64 BAG"/>
    <x v="47"/>
    <x v="66"/>
    <x v="0"/>
    <x v="0"/>
    <x v="7"/>
    <n v="2.9600000000000001E-2"/>
    <m/>
    <m/>
    <n v="0.8246"/>
    <m/>
    <m/>
  </r>
  <r>
    <s v="HUGGIES PURE 99% WATER 72 W BAG"/>
    <x v="47"/>
    <x v="66"/>
    <x v="0"/>
    <x v="0"/>
    <x v="8"/>
    <n v="2.3472"/>
    <n v="0.8044"/>
    <m/>
    <n v="54.641800000000003"/>
    <n v="24.183599999999998"/>
    <m/>
  </r>
  <r>
    <s v="KOMILI BABY SOFT ALC.FREE W 70 BAG"/>
    <x v="48"/>
    <x v="67"/>
    <x v="0"/>
    <x v="2"/>
    <x v="18"/>
    <n v="5.9740000000000002"/>
    <m/>
    <m/>
    <n v="416.80889999999999"/>
    <m/>
    <m/>
  </r>
  <r>
    <s v="KOMILI BABY COTTON PH5.5 W 80 BAG"/>
    <x v="48"/>
    <x v="67"/>
    <x v="0"/>
    <x v="1"/>
    <x v="1"/>
    <n v="0.1293"/>
    <n v="8.2299999999999998E-2"/>
    <m/>
    <n v="5.4459999999999997"/>
    <n v="3.4649000000000001"/>
    <m/>
  </r>
  <r>
    <s v="TANGO BABY SOFT VIT E ALC.FREE 72BR BAG"/>
    <x v="49"/>
    <x v="68"/>
    <x v="0"/>
    <x v="2"/>
    <x v="8"/>
    <n v="11.181699999999999"/>
    <n v="15.1816"/>
    <n v="9.6165000000000003"/>
    <n v="586.38080000000002"/>
    <n v="752.94479999999999"/>
    <n v="438.76389999999998"/>
  </r>
  <r>
    <s v="MUSTELA BEBE CLEANSING 25 W BAG"/>
    <x v="50"/>
    <x v="69"/>
    <x v="0"/>
    <x v="4"/>
    <x v="13"/>
    <n v="8.2699999999999996E-2"/>
    <n v="4.5199999999999997E-2"/>
    <n v="5.4999999999999997E-3"/>
    <n v="0.35360000000000003"/>
    <n v="0.2"/>
    <n v="2.5000000000000001E-2"/>
  </r>
  <r>
    <s v="MUSTELA BEBE CLEANSING 25 W NP KAPAK"/>
    <x v="50"/>
    <x v="69"/>
    <x v="0"/>
    <x v="4"/>
    <x v="13"/>
    <n v="2.0510000000000002"/>
    <n v="2.5941999999999998"/>
    <n v="0.76219999999999999"/>
    <n v="8.6088000000000005"/>
    <n v="11.446400000000001"/>
    <n v="3.6349999999999998"/>
  </r>
  <r>
    <s v="MUSTELA BEBE STELATOPIA W 50 BAG KAPAK"/>
    <x v="50"/>
    <x v="69"/>
    <x v="0"/>
    <x v="4"/>
    <x v="10"/>
    <n v="10.297499999999999"/>
    <n v="4.8240999999999996"/>
    <n v="4.976"/>
    <n v="49.665700000000001"/>
    <n v="27.7622"/>
    <n v="22.308599999999998"/>
  </r>
  <r>
    <s v="MUSTELABEBE STELATOPIAW50KAP+BOD+BOD+BOD"/>
    <x v="50"/>
    <x v="69"/>
    <x v="0"/>
    <x v="4"/>
    <x v="10"/>
    <n v="0.2089"/>
    <m/>
    <m/>
    <n v="1.25"/>
    <m/>
    <m/>
  </r>
  <r>
    <s v="MUSTELA BEBE CLEANSING 60 W BAG"/>
    <x v="50"/>
    <x v="69"/>
    <x v="0"/>
    <x v="0"/>
    <x v="11"/>
    <m/>
    <m/>
    <n v="0.18790000000000001"/>
    <m/>
    <m/>
    <n v="1.0885"/>
  </r>
  <r>
    <s v="MUSTELA BEBE CLEANSING AVOCADO 70 W BAG"/>
    <x v="50"/>
    <x v="69"/>
    <x v="0"/>
    <x v="0"/>
    <x v="18"/>
    <n v="1.4366000000000001"/>
    <n v="2.8525"/>
    <n v="1.1071"/>
    <n v="10.09"/>
    <n v="20.329999999999998"/>
    <n v="7.64"/>
  </r>
  <r>
    <s v="MUSTELA BEBE CLEANSING W 70 BAG KAPAK"/>
    <x v="50"/>
    <x v="69"/>
    <x v="0"/>
    <x v="4"/>
    <x v="18"/>
    <n v="6.5038999999999998"/>
    <n v="6.5046999999999997"/>
    <n v="1.2238"/>
    <n v="46.08"/>
    <n v="47.101700000000001"/>
    <n v="9.65"/>
  </r>
  <r>
    <s v="MUSTELA BEBE SOOTHING ALOE VERA 70 W BAG"/>
    <x v="50"/>
    <x v="69"/>
    <x v="0"/>
    <x v="2"/>
    <x v="18"/>
    <m/>
    <n v="6.5199999999999994E-2"/>
    <m/>
    <m/>
    <n v="0.35370000000000001"/>
    <m/>
  </r>
  <r>
    <s v="LANSINOH BABY ALC.FREE W 80 BAG KAPAK"/>
    <x v="51"/>
    <x v="70"/>
    <x v="0"/>
    <x v="2"/>
    <x v="1"/>
    <n v="7.0000000000000001E-3"/>
    <m/>
    <m/>
    <n v="0.08"/>
    <m/>
    <m/>
  </r>
  <r>
    <s v="LARA BABY SOFT ALOE VERA W 100 BAG KAPAK"/>
    <x v="52"/>
    <x v="71"/>
    <x v="0"/>
    <x v="2"/>
    <x v="2"/>
    <m/>
    <m/>
    <n v="0.80289999999999995"/>
    <m/>
    <m/>
    <n v="36.833599999999997"/>
  </r>
  <r>
    <s v="LARA BABY SOFT CAMOMILE W 100 BAG KAPAK"/>
    <x v="52"/>
    <x v="71"/>
    <x v="0"/>
    <x v="1"/>
    <x v="2"/>
    <n v="9.9892000000000003"/>
    <n v="8.1153999999999993"/>
    <n v="3.5836999999999999"/>
    <n v="492.51530000000002"/>
    <n v="366.96510000000001"/>
    <n v="145.6557"/>
  </r>
  <r>
    <s v="LARA BABY SOFT GERBERA DAISY W 100 BAG"/>
    <x v="52"/>
    <x v="71"/>
    <x v="0"/>
    <x v="2"/>
    <x v="2"/>
    <n v="2.3199999999999998E-2"/>
    <n v="2.375"/>
    <n v="2.0299"/>
    <n v="1.054"/>
    <n v="113.97580000000001"/>
    <n v="89.836200000000005"/>
  </r>
  <r>
    <s v="LARA BABY SOFT LAVENDER W 100 BAG KAPAK"/>
    <x v="52"/>
    <x v="71"/>
    <x v="0"/>
    <x v="1"/>
    <x v="2"/>
    <n v="12.8912"/>
    <n v="14.945399999999999"/>
    <n v="2.4279000000000002"/>
    <n v="607.44449999999995"/>
    <n v="678.69550000000004"/>
    <n v="103.8368"/>
  </r>
  <r>
    <s v="LARA BABY SOFT WILD ROSE W 100 BAG KAPAK"/>
    <x v="52"/>
    <x v="71"/>
    <x v="0"/>
    <x v="0"/>
    <x v="2"/>
    <m/>
    <n v="0.01"/>
    <n v="1.5183"/>
    <m/>
    <n v="0.48130000000000001"/>
    <n v="68.4452"/>
  </r>
  <r>
    <s v="LARA BABYSOFT LEMON&amp;GRAPEFRUIT W 100 BAG"/>
    <x v="52"/>
    <x v="71"/>
    <x v="0"/>
    <x v="2"/>
    <x v="2"/>
    <n v="32.355400000000003"/>
    <n v="38.555399999999999"/>
    <n v="28.667999999999999"/>
    <n v="1339.7692"/>
    <n v="1517.8848"/>
    <n v="1147.3356000000001"/>
  </r>
  <r>
    <s v="LARA BABY SOFT ALOE VERA W 120 BAG KAPAK"/>
    <x v="52"/>
    <x v="71"/>
    <x v="0"/>
    <x v="1"/>
    <x v="3"/>
    <n v="39.0503"/>
    <n v="53.6008"/>
    <n v="45.671900000000001"/>
    <n v="2028.7261000000001"/>
    <n v="2727.4971999999998"/>
    <n v="2409.5587999999998"/>
  </r>
  <r>
    <s v="LARA BABY SOFT CAMOMILE BREEZE W 120 BAG"/>
    <x v="52"/>
    <x v="71"/>
    <x v="0"/>
    <x v="2"/>
    <x v="3"/>
    <n v="18.061"/>
    <n v="20.3689"/>
    <n v="25.3782"/>
    <n v="997.27200000000005"/>
    <n v="1129.9784999999999"/>
    <n v="1401.0871999999999"/>
  </r>
  <r>
    <s v="LARA BABY SOFT CAMOMILE W 120 BAG KAPAK"/>
    <x v="52"/>
    <x v="71"/>
    <x v="0"/>
    <x v="1"/>
    <x v="3"/>
    <n v="60.256900000000002"/>
    <n v="59.171300000000002"/>
    <n v="46.391500000000001"/>
    <n v="3003.9076"/>
    <n v="2862.6754999999998"/>
    <n v="2309.9086000000002"/>
  </r>
  <r>
    <s v="LARA BABY SOFT GERBER W 120 BAG KAPAK"/>
    <x v="52"/>
    <x v="71"/>
    <x v="0"/>
    <x v="1"/>
    <x v="3"/>
    <n v="20.0168"/>
    <n v="19.4117"/>
    <n v="16.676400000000001"/>
    <n v="1086.6414"/>
    <n v="1089.1328000000001"/>
    <n v="913.75469999999996"/>
  </r>
  <r>
    <s v="LARA BABY SOFT LAVENDER W 120 BAG KAPAK"/>
    <x v="52"/>
    <x v="71"/>
    <x v="0"/>
    <x v="1"/>
    <x v="3"/>
    <n v="15.4658"/>
    <n v="23.898299999999999"/>
    <n v="20.8841"/>
    <n v="835.59469999999999"/>
    <n v="1304.8905999999999"/>
    <n v="1122.8086000000001"/>
  </r>
  <r>
    <s v="LARA BABY SOFT WILD ROSE W 120 BAG KAPAK"/>
    <x v="52"/>
    <x v="71"/>
    <x v="0"/>
    <x v="0"/>
    <x v="3"/>
    <n v="17.192699999999999"/>
    <n v="14.837400000000001"/>
    <n v="10.0755"/>
    <n v="845.18690000000004"/>
    <n v="818.97209999999995"/>
    <n v="554.23329999999999"/>
  </r>
  <r>
    <s v="LARA BABYSOFT LEMON&amp;GRAPEFRUIT W 120 BAG"/>
    <x v="52"/>
    <x v="71"/>
    <x v="0"/>
    <x v="2"/>
    <x v="3"/>
    <n v="12.4558"/>
    <n v="19.5045"/>
    <n v="19.680399999999999"/>
    <n v="695.70420000000001"/>
    <n v="1080.8305"/>
    <n v="1068.2409"/>
  </r>
  <r>
    <s v="LARA BABYSOFT PREMIUM ALC.FREE W 120 BAG"/>
    <x v="52"/>
    <x v="71"/>
    <x v="0"/>
    <x v="2"/>
    <x v="3"/>
    <n v="29.7578"/>
    <n v="42.059199999999997"/>
    <n v="37.9373"/>
    <n v="1513.1635000000001"/>
    <n v="2139.8314999999998"/>
    <n v="1997.7666999999999"/>
  </r>
  <r>
    <s v="LARA BABY SOFT&amp;FRESH PH5.5 W 20 BAG"/>
    <x v="52"/>
    <x v="71"/>
    <x v="0"/>
    <x v="1"/>
    <x v="0"/>
    <n v="12.4033"/>
    <n v="7.0781999999999998"/>
    <n v="1.7199"/>
    <n v="294.48759999999999"/>
    <n v="150.97989999999999"/>
    <n v="36.068199999999997"/>
  </r>
  <r>
    <s v="LARA BABY SOFT ALOE VERA W 40 BAG"/>
    <x v="52"/>
    <x v="71"/>
    <x v="0"/>
    <x v="2"/>
    <x v="5"/>
    <n v="1.6268"/>
    <m/>
    <m/>
    <n v="65.1297"/>
    <m/>
    <m/>
  </r>
  <r>
    <s v="LARA BABY SOFT VIT E&amp;PRO VIT B5 W 40 BAG"/>
    <x v="52"/>
    <x v="71"/>
    <x v="0"/>
    <x v="2"/>
    <x v="5"/>
    <n v="2.5358999999999998"/>
    <m/>
    <m/>
    <n v="101.7274"/>
    <m/>
    <m/>
  </r>
  <r>
    <s v="LARA CARE BABY 99%WATER PREBIOTIC W 60"/>
    <x v="52"/>
    <x v="71"/>
    <x v="0"/>
    <x v="0"/>
    <x v="11"/>
    <m/>
    <m/>
    <n v="3.6318999999999999"/>
    <m/>
    <m/>
    <n v="71.160700000000006"/>
  </r>
  <r>
    <s v="LARA BABY FRESH W 72 BAG/KAPACHE"/>
    <x v="52"/>
    <x v="71"/>
    <x v="0"/>
    <x v="0"/>
    <x v="8"/>
    <n v="17.9986"/>
    <n v="13.0489"/>
    <n v="10.643000000000001"/>
    <n v="650.62580000000003"/>
    <n v="424.79559999999998"/>
    <n v="323.3997"/>
  </r>
  <r>
    <s v="LARA BABY SENSITIVE PH5.5 W 72 BAG"/>
    <x v="52"/>
    <x v="71"/>
    <x v="0"/>
    <x v="3"/>
    <x v="8"/>
    <n v="18.099399999999999"/>
    <n v="12.3561"/>
    <n v="12.3432"/>
    <n v="1018.4675999999999"/>
    <n v="683.55870000000004"/>
    <n v="606.59050000000002"/>
  </r>
  <r>
    <s v="LARA BABY SOFT CAMOMILE W 72 BAG/KAPACHE"/>
    <x v="52"/>
    <x v="71"/>
    <x v="0"/>
    <x v="0"/>
    <x v="8"/>
    <n v="13.9643"/>
    <n v="11.9328"/>
    <n v="7.4202000000000004"/>
    <n v="510.25119999999998"/>
    <n v="382.31479999999999"/>
    <n v="215.15559999999999"/>
  </r>
  <r>
    <s v="LARA BABY SOFT PH5.5 W 72 BAG"/>
    <x v="52"/>
    <x v="71"/>
    <x v="0"/>
    <x v="1"/>
    <x v="8"/>
    <m/>
    <n v="0.56559999999999999"/>
    <n v="0.19719999999999999"/>
    <m/>
    <n v="6.4855"/>
    <n v="8.6998999999999995"/>
  </r>
  <r>
    <s v="LARA BABY SOFT PH5.5 W 72 BAG KAPAK"/>
    <x v="52"/>
    <x v="71"/>
    <x v="0"/>
    <x v="1"/>
    <x v="8"/>
    <n v="11.936500000000001"/>
    <n v="11.3424"/>
    <n v="2.8279999999999998"/>
    <n v="494.98500000000001"/>
    <n v="456.52679999999998"/>
    <n v="127.90179999999999"/>
  </r>
  <r>
    <s v="LARA BABY SOFT VIT E&amp;PRO VIT B5 W 72 BAG"/>
    <x v="52"/>
    <x v="71"/>
    <x v="0"/>
    <x v="2"/>
    <x v="8"/>
    <n v="16.799600000000002"/>
    <n v="11.79"/>
    <n v="3.1292"/>
    <n v="633.09360000000004"/>
    <n v="491.60489999999999"/>
    <n v="123.1259"/>
  </r>
  <r>
    <s v="LARA BABY SOFT&amp;FRESH W 72 BAG"/>
    <x v="52"/>
    <x v="71"/>
    <x v="0"/>
    <x v="1"/>
    <x v="8"/>
    <n v="15.0557"/>
    <n v="9.7439"/>
    <n v="7.3936000000000002"/>
    <n v="945.80409999999995"/>
    <n v="583.28309999999999"/>
    <n v="424.78879999999998"/>
  </r>
  <r>
    <s v="LARA BABY SPECIAL FORMULA VIT E W 72 BAG"/>
    <x v="52"/>
    <x v="71"/>
    <x v="0"/>
    <x v="1"/>
    <x v="8"/>
    <n v="2.5228000000000002"/>
    <m/>
    <m/>
    <n v="102.04300000000001"/>
    <m/>
    <m/>
  </r>
  <r>
    <s v="LARA BABY SOFT ALOE VERA W 80 BAG KAPAK"/>
    <x v="52"/>
    <x v="71"/>
    <x v="0"/>
    <x v="2"/>
    <x v="1"/>
    <n v="5.8501000000000003"/>
    <n v="3.1604999999999999"/>
    <n v="1.1102000000000001"/>
    <n v="279.7971"/>
    <n v="133.69110000000001"/>
    <n v="49.716799999999999"/>
  </r>
  <r>
    <s v="LARA BABY SOFT WILD ROSE W 80 BAG KAPAK"/>
    <x v="52"/>
    <x v="71"/>
    <x v="0"/>
    <x v="0"/>
    <x v="1"/>
    <n v="3.5649999999999999"/>
    <n v="3.9624000000000001"/>
    <n v="3.0468999999999999"/>
    <n v="186.07509999999999"/>
    <n v="188.92570000000001"/>
    <n v="146.31370000000001"/>
  </r>
  <r>
    <s v="LARA BABYSOFT CAMOMILEBREEZ.W 80 BAG KAP"/>
    <x v="52"/>
    <x v="71"/>
    <x v="0"/>
    <x v="2"/>
    <x v="1"/>
    <n v="4.5880999999999998"/>
    <n v="5.0932000000000004"/>
    <n v="5.0259"/>
    <n v="237.0685"/>
    <n v="259.80410000000001"/>
    <n v="248.8639"/>
  </r>
  <r>
    <s v="LARA BABY SOFT EXTRA W 96 BAG/KAPACHE"/>
    <x v="52"/>
    <x v="71"/>
    <x v="0"/>
    <x v="0"/>
    <x v="23"/>
    <m/>
    <n v="7.0000000000000001E-3"/>
    <m/>
    <m/>
    <n v="0.32779999999999998"/>
    <m/>
  </r>
  <r>
    <s v="PUFY FRESH GERBERA PH5.5 W 120 BAG"/>
    <x v="52"/>
    <x v="72"/>
    <x v="0"/>
    <x v="1"/>
    <x v="3"/>
    <n v="3.0200000000000001E-2"/>
    <n v="2.0104000000000002"/>
    <n v="1.0045999999999999"/>
    <n v="1.4571000000000001"/>
    <n v="118.0438"/>
    <n v="56.873399999999997"/>
  </r>
  <r>
    <s v="TOP BLITZ CREAM VIT E W 72 BAG"/>
    <x v="52"/>
    <x v="73"/>
    <x v="0"/>
    <x v="0"/>
    <x v="8"/>
    <n v="0.1913"/>
    <n v="0.55200000000000005"/>
    <n v="4.3700000000000003E-2"/>
    <n v="6.9211999999999998"/>
    <n v="19.9695"/>
    <n v="1.2094"/>
  </r>
  <r>
    <s v="CONFY BABY PH5.5 W 40 BAG"/>
    <x v="53"/>
    <x v="74"/>
    <x v="0"/>
    <x v="1"/>
    <x v="5"/>
    <n v="2.6700000000000002E-2"/>
    <n v="6.6E-3"/>
    <m/>
    <n v="1.3361000000000001"/>
    <n v="0.32919999999999999"/>
    <m/>
  </r>
  <r>
    <s v="CONFY BABY SENSITIVE W 90 BAG"/>
    <x v="53"/>
    <x v="74"/>
    <x v="0"/>
    <x v="3"/>
    <x v="9"/>
    <n v="6.93E-2"/>
    <n v="0.19889999999999999"/>
    <m/>
    <n v="3.0247000000000002"/>
    <n v="8.6912000000000003"/>
    <m/>
  </r>
  <r>
    <s v="CONFY BABY SENSITIVE W 90 BAG PINK"/>
    <x v="53"/>
    <x v="74"/>
    <x v="0"/>
    <x v="3"/>
    <x v="9"/>
    <n v="7.6300000000000007E-2"/>
    <n v="0.42759999999999998"/>
    <n v="0.15670000000000001"/>
    <n v="3.4260000000000002"/>
    <n v="18.685099999999998"/>
    <n v="6.8449999999999998"/>
  </r>
  <r>
    <s v="MIMOSA BABY ALOE VERA 64 BAG"/>
    <x v="54"/>
    <x v="75"/>
    <x v="0"/>
    <x v="0"/>
    <x v="7"/>
    <n v="13.539"/>
    <n v="14.939299999999999"/>
    <n v="5.9192"/>
    <n v="399.25150000000002"/>
    <n v="471.38619999999997"/>
    <n v="172.6644"/>
  </r>
  <r>
    <s v="MIMOSA BABY CHAMOMILE 64 BAG"/>
    <x v="54"/>
    <x v="75"/>
    <x v="0"/>
    <x v="0"/>
    <x v="7"/>
    <n v="9.7232000000000003"/>
    <n v="14.417199999999999"/>
    <n v="5.9874999999999998"/>
    <n v="300.88780000000003"/>
    <n v="488.67129999999997"/>
    <n v="199.4579"/>
  </r>
  <r>
    <s v="MIMOSA BABY PH5.5 72 BAG KAPAK"/>
    <x v="54"/>
    <x v="75"/>
    <x v="0"/>
    <x v="1"/>
    <x v="8"/>
    <n v="0.4834"/>
    <m/>
    <m/>
    <n v="12.901899999999999"/>
    <m/>
    <m/>
  </r>
  <r>
    <s v="SENCE BABY SENSITIVE PH5.5 W 60 BAG"/>
    <x v="55"/>
    <x v="76"/>
    <x v="0"/>
    <x v="3"/>
    <x v="11"/>
    <n v="0.13550000000000001"/>
    <m/>
    <m/>
    <n v="3.2519"/>
    <m/>
    <m/>
  </r>
  <r>
    <s v="BABY CARE CHAMOMILE 4X12/2FR BAG"/>
    <x v="56"/>
    <x v="77"/>
    <x v="0"/>
    <x v="5"/>
    <x v="24"/>
    <m/>
    <n v="2.3E-3"/>
    <m/>
    <m/>
    <n v="4.8000000000000001E-2"/>
    <m/>
  </r>
  <r>
    <s v="BABY CARE CHAMOMILE W 12 BAG"/>
    <x v="56"/>
    <x v="77"/>
    <x v="0"/>
    <x v="5"/>
    <x v="24"/>
    <n v="3.7978999999999998"/>
    <n v="0.23119999999999999"/>
    <n v="5.57E-2"/>
    <n v="45.909399999999998"/>
    <n v="3.0430999999999999"/>
    <n v="0.74270000000000003"/>
  </r>
  <r>
    <s v="BABY CARE CHAMOMILE W 3X12/1FR BAG"/>
    <x v="56"/>
    <x v="77"/>
    <x v="0"/>
    <x v="5"/>
    <x v="24"/>
    <n v="10.1713"/>
    <n v="1.4034"/>
    <n v="0.79169999999999996"/>
    <n v="191.46350000000001"/>
    <n v="25.065200000000001"/>
    <n v="12.493499999999999"/>
  </r>
  <r>
    <s v="BABY CARE TRAVEL CHAMOMILE 20 BAG"/>
    <x v="56"/>
    <x v="77"/>
    <x v="0"/>
    <x v="5"/>
    <x v="0"/>
    <n v="8.9099999999999999E-2"/>
    <m/>
    <m/>
    <n v="1.4943"/>
    <m/>
    <m/>
  </r>
  <r>
    <s v="BABY CARE CLAMING PURE WATER 63 BAG"/>
    <x v="56"/>
    <x v="77"/>
    <x v="0"/>
    <x v="0"/>
    <x v="15"/>
    <n v="16.7622"/>
    <n v="54.880099999999999"/>
    <n v="30.8141"/>
    <n v="558.82709999999997"/>
    <n v="1712.2448999999999"/>
    <n v="842.72770000000003"/>
  </r>
  <r>
    <s v="BABY CARE PURE COTTON EXTRACT 63 BAG"/>
    <x v="56"/>
    <x v="77"/>
    <x v="0"/>
    <x v="0"/>
    <x v="15"/>
    <n v="61.024299999999997"/>
    <n v="69.369399999999999"/>
    <n v="37.2607"/>
    <n v="1986.0632000000001"/>
    <n v="2074.7809000000002"/>
    <n v="1026.0545999999999"/>
  </r>
  <r>
    <s v="BABY CARE SENSITIVE OLIVE EXTRACT 63 BAG"/>
    <x v="56"/>
    <x v="77"/>
    <x v="0"/>
    <x v="3"/>
    <x v="15"/>
    <n v="99.720299999999995"/>
    <n v="82.962900000000005"/>
    <n v="1.6460999999999999"/>
    <n v="3124.0421999999999"/>
    <n v="2460.6639"/>
    <n v="45.897799999999997"/>
  </r>
  <r>
    <s v="BABY CARE TRAVEL CHAMOMILE 72 BAG RE"/>
    <x v="56"/>
    <x v="77"/>
    <x v="0"/>
    <x v="0"/>
    <x v="8"/>
    <n v="86.361699999999999"/>
    <n v="101.56570000000001"/>
    <n v="54.776899999999998"/>
    <n v="3022.1621"/>
    <n v="3499.3182999999999"/>
    <n v="1704.9738"/>
  </r>
  <r>
    <s v="BABY LINO SENSITIVE CHAMOMILE W 54 BAG"/>
    <x v="56"/>
    <x v="78"/>
    <x v="0"/>
    <x v="3"/>
    <x v="25"/>
    <n v="23.7104"/>
    <n v="2.5188000000000001"/>
    <n v="0.15770000000000001"/>
    <n v="549.04570000000001"/>
    <n v="49.080599999999997"/>
    <n v="2.9064000000000001"/>
  </r>
  <r>
    <s v="BABYLINO SENSITIVE ARNIKACHAMOMILE W 54"/>
    <x v="56"/>
    <x v="78"/>
    <x v="0"/>
    <x v="3"/>
    <x v="25"/>
    <n v="34.488300000000002"/>
    <n v="5.6889000000000003"/>
    <n v="0.2626"/>
    <n v="739.96220000000005"/>
    <n v="104.66840000000001"/>
    <n v="4.7222"/>
  </r>
  <r>
    <s v="BABYLINO SENSITIVE CHAMOMILE W 54+10 BAG"/>
    <x v="56"/>
    <x v="78"/>
    <x v="0"/>
    <x v="3"/>
    <x v="25"/>
    <n v="0.31869999999999998"/>
    <m/>
    <m/>
    <n v="6.5327000000000002"/>
    <m/>
    <m/>
  </r>
  <r>
    <s v="BABYLINO SENSITIVE CHAMOMILE W 54+WIP 10"/>
    <x v="56"/>
    <x v="78"/>
    <x v="0"/>
    <x v="3"/>
    <x v="25"/>
    <n v="7.1499999999999994E-2"/>
    <m/>
    <m/>
    <n v="1.2682"/>
    <m/>
    <m/>
  </r>
  <r>
    <s v="L'UNICO BABY OLIO DI ARGAN HYPO.W 72 BAG"/>
    <x v="57"/>
    <x v="79"/>
    <x v="0"/>
    <x v="4"/>
    <x v="8"/>
    <m/>
    <n v="6.2138"/>
    <n v="8.77E-2"/>
    <m/>
    <n v="384.83499999999998"/>
    <n v="5.7408999999999999"/>
  </r>
  <r>
    <s v="BIG SOFT SENSITIVE WITH CREAM 100 BAG"/>
    <x v="58"/>
    <x v="80"/>
    <x v="0"/>
    <x v="3"/>
    <x v="2"/>
    <n v="2.8529"/>
    <m/>
    <m/>
    <n v="195.97380000000001"/>
    <m/>
    <m/>
  </r>
  <r>
    <s v="BIGSOFT SENSITIVEWITHCREAM 100 BAG KAPAK"/>
    <x v="58"/>
    <x v="80"/>
    <x v="0"/>
    <x v="3"/>
    <x v="2"/>
    <n v="13.515499999999999"/>
    <n v="1.9742999999999999"/>
    <n v="2.98E-2"/>
    <n v="813.32730000000004"/>
    <n v="103.7679"/>
    <n v="1.4246000000000001"/>
  </r>
  <r>
    <s v="BIG SOFT CREAM SENS.PH5.5 W 120 BAG"/>
    <x v="58"/>
    <x v="80"/>
    <x v="0"/>
    <x v="3"/>
    <x v="3"/>
    <m/>
    <n v="47.540100000000002"/>
    <n v="13.0617"/>
    <m/>
    <n v="2356.4949999999999"/>
    <n v="720.12469999999996"/>
  </r>
  <r>
    <s v="BIG SOFT SENSITIVE OLIVE OIL ALOE 70 BAG"/>
    <x v="58"/>
    <x v="80"/>
    <x v="0"/>
    <x v="3"/>
    <x v="18"/>
    <n v="4.0548000000000002"/>
    <n v="2.4268999999999998"/>
    <m/>
    <n v="220.69159999999999"/>
    <n v="134.58930000000001"/>
    <m/>
  </r>
  <r>
    <s v="HAPPY FAMILY BABY PH5.5 W 70 BAG"/>
    <x v="58"/>
    <x v="81"/>
    <x v="0"/>
    <x v="1"/>
    <x v="18"/>
    <n v="42.300199999999997"/>
    <n v="20.829499999999999"/>
    <n v="4.8948"/>
    <n v="2912.5239999999999"/>
    <n v="1143.2672"/>
    <n v="245.0727"/>
  </r>
  <r>
    <s v="MORS CHAMOMILE PH5.5 W 120 BAG KAPAK"/>
    <x v="59"/>
    <x v="82"/>
    <x v="0"/>
    <x v="1"/>
    <x v="3"/>
    <n v="12.6196"/>
    <n v="0.30170000000000002"/>
    <m/>
    <n v="774.8818"/>
    <n v="18.222799999999999"/>
    <m/>
  </r>
  <r>
    <s v="WIPEST COMFORT ALC.FREE W 120 BAG KAPAK"/>
    <x v="59"/>
    <x v="83"/>
    <x v="0"/>
    <x v="2"/>
    <x v="3"/>
    <m/>
    <n v="39.128300000000003"/>
    <n v="18.019200000000001"/>
    <m/>
    <n v="2116.4569999999999"/>
    <n v="1056.0386000000001"/>
  </r>
  <r>
    <s v="WIPEST COMFORT ALC.FREE W 72 BAG KAPAK"/>
    <x v="59"/>
    <x v="83"/>
    <x v="0"/>
    <x v="2"/>
    <x v="8"/>
    <n v="14.5854"/>
    <n v="45.532299999999999"/>
    <n v="49.915700000000001"/>
    <n v="930.23509999999999"/>
    <n v="2490.5082000000002"/>
    <n v="2411.3348000000001"/>
  </r>
  <r>
    <s v="NATY SENSITIVE ALOE VERA W 56 BAG"/>
    <x v="60"/>
    <x v="84"/>
    <x v="0"/>
    <x v="3"/>
    <x v="6"/>
    <n v="0.1139"/>
    <n v="4.0300000000000002E-2"/>
    <m/>
    <n v="0.85599999999999998"/>
    <n v="0.30399999999999999"/>
    <m/>
  </r>
  <r>
    <s v="NATY SENSITIVE W 56 BAG NATY AB"/>
    <x v="60"/>
    <x v="84"/>
    <x v="0"/>
    <x v="3"/>
    <x v="6"/>
    <n v="0.19919999999999999"/>
    <m/>
    <m/>
    <n v="1.496"/>
    <m/>
    <m/>
  </r>
  <r>
    <s v="FRESH BABY PREMIUM ALC.FREE W 100 BAG"/>
    <x v="61"/>
    <x v="85"/>
    <x v="0"/>
    <x v="2"/>
    <x v="2"/>
    <n v="4.4461000000000004"/>
    <n v="2.0626000000000002"/>
    <m/>
    <n v="234.7319"/>
    <n v="137.5095"/>
    <m/>
  </r>
  <r>
    <s v="FRESH BABY PH5.5 W 15 BAG"/>
    <x v="61"/>
    <x v="85"/>
    <x v="0"/>
    <x v="1"/>
    <x v="4"/>
    <n v="0.15609999999999999"/>
    <n v="2.98E-2"/>
    <n v="0.25540000000000002"/>
    <n v="9.3703000000000003"/>
    <n v="1.4905999999999999"/>
    <n v="12.7729"/>
  </r>
  <r>
    <s v="FRESH BABY WATER 99.9% W 60 BAG"/>
    <x v="61"/>
    <x v="85"/>
    <x v="0"/>
    <x v="0"/>
    <x v="11"/>
    <n v="1.8445"/>
    <m/>
    <m/>
    <n v="41.871899999999997"/>
    <m/>
    <m/>
  </r>
  <r>
    <s v="FRESH BABY P H5.5 W 72 BAG"/>
    <x v="61"/>
    <x v="85"/>
    <x v="0"/>
    <x v="1"/>
    <x v="8"/>
    <n v="0.57199999999999995"/>
    <m/>
    <m/>
    <n v="34.318100000000001"/>
    <m/>
    <m/>
  </r>
  <r>
    <s v="FRESH BABY PH5.5 W 72 BAG KAPAK"/>
    <x v="61"/>
    <x v="85"/>
    <x v="0"/>
    <x v="1"/>
    <x v="8"/>
    <n v="10.123900000000001"/>
    <n v="4.3895"/>
    <m/>
    <n v="617.78060000000005"/>
    <n v="241.07740000000001"/>
    <m/>
  </r>
  <r>
    <s v="GOLDEN SENSITIVE W 120 BAG"/>
    <x v="61"/>
    <x v="86"/>
    <x v="0"/>
    <x v="3"/>
    <x v="3"/>
    <m/>
    <n v="56.203800000000001"/>
    <n v="22.180299999999999"/>
    <m/>
    <n v="3259.8697999999999"/>
    <n v="1260.6195"/>
  </r>
  <r>
    <s v="GOLDEN SENSITIVE W 72 BAG"/>
    <x v="61"/>
    <x v="86"/>
    <x v="0"/>
    <x v="3"/>
    <x v="8"/>
    <m/>
    <n v="15.356400000000001"/>
    <n v="10.720599999999999"/>
    <m/>
    <n v="847.21910000000003"/>
    <n v="534.71069999999997"/>
  </r>
  <r>
    <s v="MY FIX BABY ROSE FRESH W 80 BAG KAPAK"/>
    <x v="61"/>
    <x v="87"/>
    <x v="0"/>
    <x v="0"/>
    <x v="1"/>
    <n v="1.0731999999999999"/>
    <m/>
    <m/>
    <n v="47.075600000000001"/>
    <m/>
    <m/>
  </r>
  <r>
    <s v="PUFFY BABY SENSITIVE PURE W 88 BAG KAPAK"/>
    <x v="61"/>
    <x v="88"/>
    <x v="0"/>
    <x v="3"/>
    <x v="26"/>
    <n v="2.6486999999999998"/>
    <m/>
    <m/>
    <n v="124.62050000000001"/>
    <m/>
    <m/>
  </r>
  <r>
    <s v="TITO BABY SOFT COMFORT PH5.5 W 120 BAG"/>
    <x v="61"/>
    <x v="89"/>
    <x v="0"/>
    <x v="1"/>
    <x v="3"/>
    <n v="84.095799999999997"/>
    <n v="151.49979999999999"/>
    <n v="39.488900000000001"/>
    <n v="4863.5491000000002"/>
    <n v="8687.4974999999995"/>
    <n v="2240.9688000000001"/>
  </r>
  <r>
    <s v="TITO BABY PH5.5 ALC.FREE W 72 BAG KAPAK"/>
    <x v="61"/>
    <x v="89"/>
    <x v="0"/>
    <x v="1"/>
    <x v="8"/>
    <n v="24.440899999999999"/>
    <n v="13.931900000000001"/>
    <n v="5.4257"/>
    <n v="1419.3269"/>
    <n v="757.8877"/>
    <n v="289.12630000000001"/>
  </r>
  <r>
    <s v="TITO BABY SOFT COMFORT PH5.5 W 72 BAG"/>
    <x v="61"/>
    <x v="89"/>
    <x v="0"/>
    <x v="1"/>
    <x v="8"/>
    <n v="2.0893000000000002"/>
    <n v="2.5973000000000002"/>
    <n v="0.1109"/>
    <n v="135.5565"/>
    <n v="141.02850000000001"/>
    <n v="6.4691999999999998"/>
  </r>
  <r>
    <s v="FRESH BABY PREM.QUALITY PH5.5 W 120 BAG"/>
    <x v="62"/>
    <x v="85"/>
    <x v="0"/>
    <x v="1"/>
    <x v="3"/>
    <n v="6.1833"/>
    <n v="0.61119999999999997"/>
    <m/>
    <n v="392.1592"/>
    <n v="31.181999999999999"/>
    <m/>
  </r>
  <r>
    <s v="PUFY BABY CHAMOMILE PH5.5 W 120 BAG"/>
    <x v="62"/>
    <x v="90"/>
    <x v="0"/>
    <x v="1"/>
    <x v="3"/>
    <n v="2.5480999999999998"/>
    <n v="2.6009000000000002"/>
    <m/>
    <n v="132.16820000000001"/>
    <n v="141.76490000000001"/>
    <m/>
  </r>
  <r>
    <s v="SPEEDYCARE BABYLINECONCREMAMAXI 20 BAG"/>
    <x v="63"/>
    <x v="91"/>
    <x v="0"/>
    <x v="4"/>
    <x v="0"/>
    <n v="0.15809999999999999"/>
    <n v="2E-3"/>
    <n v="1E-3"/>
    <n v="2.1"/>
    <n v="0.02"/>
    <n v="0.02"/>
  </r>
  <r>
    <s v="CAN BEBE BASIC CARE ALK.FREE W 56 BAG"/>
    <x v="64"/>
    <x v="92"/>
    <x v="0"/>
    <x v="2"/>
    <x v="6"/>
    <n v="6.0000000000000001E-3"/>
    <n v="0.35439999999999999"/>
    <m/>
    <n v="0.33839999999999998"/>
    <n v="16.541699999999999"/>
    <m/>
  </r>
  <r>
    <s v="KOPRINA  FreshClean 72 W BAG KAPAK"/>
    <x v="65"/>
    <x v="93"/>
    <x v="0"/>
    <x v="1"/>
    <x v="8"/>
    <m/>
    <m/>
    <n v="9.8000000000000004E-2"/>
    <m/>
    <m/>
    <n v="3.3592"/>
  </r>
  <r>
    <s v="BEBIKO VIP BABY ALOE VERA W 72 BAG KAPAK"/>
    <x v="66"/>
    <x v="94"/>
    <x v="0"/>
    <x v="0"/>
    <x v="8"/>
    <m/>
    <n v="0.79349999999999998"/>
    <n v="0.7298"/>
    <m/>
    <n v="47.268799999999999"/>
    <n v="43.602699999999999"/>
  </r>
  <r>
    <s v="PAPATYA BABY B5&amp;VIT E PH5.5 90 W BAG"/>
    <x v="67"/>
    <x v="95"/>
    <x v="0"/>
    <x v="1"/>
    <x v="9"/>
    <n v="0.36020000000000002"/>
    <n v="5.21E-2"/>
    <n v="9.4000000000000004E-3"/>
    <n v="19.065100000000001"/>
    <n v="2.6206"/>
    <n v="0.48"/>
  </r>
  <r>
    <s v="PERFETTO PH5.5 ALC.FREE W 80 BAG"/>
    <x v="68"/>
    <x v="96"/>
    <x v="0"/>
    <x v="1"/>
    <x v="1"/>
    <m/>
    <m/>
    <n v="2.0999999999999999E-3"/>
    <m/>
    <m/>
    <n v="0.17710000000000001"/>
  </r>
  <r>
    <s v="BETTY BABY ALC.FREE W 24 BAG"/>
    <x v="69"/>
    <x v="97"/>
    <x v="0"/>
    <x v="2"/>
    <x v="27"/>
    <n v="1.4545999999999999"/>
    <n v="0.15629999999999999"/>
    <n v="5.8099999999999999E-2"/>
    <n v="31.957999999999998"/>
    <n v="3.1030000000000002"/>
    <n v="1.1613"/>
  </r>
  <r>
    <s v="BETTY BABY ALC.FREE W 72 BAG"/>
    <x v="69"/>
    <x v="97"/>
    <x v="0"/>
    <x v="2"/>
    <x v="8"/>
    <n v="0.69610000000000005"/>
    <m/>
    <m/>
    <n v="23.8918"/>
    <m/>
    <m/>
  </r>
  <r>
    <s v="KLORANE BEBE CALENDULA ALC.FREE W 25 BAG"/>
    <x v="70"/>
    <x v="98"/>
    <x v="0"/>
    <x v="2"/>
    <x v="13"/>
    <n v="0.83640000000000003"/>
    <n v="0.55679999999999996"/>
    <n v="0.16950000000000001"/>
    <n v="3.2871000000000001"/>
    <n v="1.9970000000000001"/>
    <n v="0.75749999999999995"/>
  </r>
  <r>
    <s v="KLORANE BEBE CALENDULA CLEAN.LOTION W 70"/>
    <x v="70"/>
    <x v="98"/>
    <x v="0"/>
    <x v="2"/>
    <x v="18"/>
    <n v="1.8599999999999998E-2"/>
    <m/>
    <m/>
    <n v="0.14000000000000001"/>
    <m/>
    <m/>
  </r>
  <r>
    <s v="KLORANE BEBE CALENDULA THICKCL. W 70 BAG"/>
    <x v="70"/>
    <x v="98"/>
    <x v="0"/>
    <x v="2"/>
    <x v="18"/>
    <n v="0.34599999999999997"/>
    <n v="0.3881"/>
    <n v="0.2717"/>
    <n v="2.4157999999999999"/>
    <n v="2.4979"/>
    <n v="1.68"/>
  </r>
  <r>
    <s v="KLORANE BEBE CALENDULA W 70 SP.TS. BAG"/>
    <x v="70"/>
    <x v="98"/>
    <x v="0"/>
    <x v="2"/>
    <x v="18"/>
    <n v="0.25569999999999998"/>
    <n v="2.6200000000000001E-2"/>
    <m/>
    <n v="2.27"/>
    <n v="0.31"/>
    <m/>
  </r>
  <r>
    <s v="FRESH BABY ALOE&amp;CALEN. PH5.5 W 60 BAG"/>
    <x v="71"/>
    <x v="85"/>
    <x v="0"/>
    <x v="1"/>
    <x v="11"/>
    <n v="4.2514000000000003"/>
    <n v="9.5349000000000004"/>
    <n v="4.3247999999999998"/>
    <n v="118.9742"/>
    <n v="264.43900000000002"/>
    <n v="116.2043"/>
  </r>
  <r>
    <s v="FRESH BABY AQUA PURE PH5.5 W 60 BAG"/>
    <x v="71"/>
    <x v="85"/>
    <x v="0"/>
    <x v="1"/>
    <x v="11"/>
    <m/>
    <n v="3.1814"/>
    <n v="1.8621000000000001"/>
    <m/>
    <n v="84.536500000000004"/>
    <n v="48.9773"/>
  </r>
  <r>
    <s v="FRESH BABY CARE ALOE VERA W 60 BAG"/>
    <x v="71"/>
    <x v="85"/>
    <x v="0"/>
    <x v="0"/>
    <x v="11"/>
    <n v="9.6434999999999995"/>
    <m/>
    <m/>
    <n v="280.5643"/>
    <m/>
    <m/>
  </r>
  <r>
    <s v="FRESH BABY SOFT CREAM W 60 BAG"/>
    <x v="71"/>
    <x v="85"/>
    <x v="0"/>
    <x v="0"/>
    <x v="11"/>
    <n v="12.711499999999999"/>
    <m/>
    <m/>
    <n v="374.43990000000002"/>
    <m/>
    <m/>
  </r>
  <r>
    <s v="SLIPP BEBE SENS.LOTION&amp;VITE&amp;B5 W 120 BAG"/>
    <x v="72"/>
    <x v="99"/>
    <x v="0"/>
    <x v="3"/>
    <x v="3"/>
    <m/>
    <m/>
    <n v="0.624"/>
    <m/>
    <m/>
    <n v="34.035699999999999"/>
  </r>
  <r>
    <s v="MELANI BABY ALOEVERA&amp;VITE W 64 BAG KAPAK"/>
    <x v="73"/>
    <x v="100"/>
    <x v="0"/>
    <x v="0"/>
    <x v="7"/>
    <n v="192.72300000000001"/>
    <n v="183.24340000000001"/>
    <n v="97.209599999999995"/>
    <n v="7900.9691000000003"/>
    <n v="6838.8454000000002"/>
    <n v="3264.5805999999998"/>
  </r>
  <r>
    <s v="PAMPERS AQUA PURE ALC.FREE 12 BAG+DIA"/>
    <x v="74"/>
    <x v="101"/>
    <x v="0"/>
    <x v="2"/>
    <x v="24"/>
    <n v="6.59E-2"/>
    <n v="0.95820000000000005"/>
    <m/>
    <n v="0.18509999999999999"/>
    <n v="3.0327999999999999"/>
    <m/>
  </r>
  <r>
    <s v="PAMPERS AQUA PURE ALC.FREE 12 BAG+DIA28"/>
    <x v="74"/>
    <x v="101"/>
    <x v="0"/>
    <x v="2"/>
    <x v="24"/>
    <n v="5.1000000000000004E-3"/>
    <n v="0.40570000000000001"/>
    <m/>
    <n v="1.37E-2"/>
    <n v="1.3527"/>
    <m/>
  </r>
  <r>
    <s v="PAMPERS AQUA PURE ALC.FREE 12 BAG+DIA50"/>
    <x v="74"/>
    <x v="101"/>
    <x v="0"/>
    <x v="2"/>
    <x v="24"/>
    <n v="0.1182"/>
    <n v="1.0884"/>
    <m/>
    <n v="0.31890000000000002"/>
    <n v="3.3033999999999999"/>
    <m/>
  </r>
  <r>
    <s v="PAMPERS SENSITIVE ALC.FREE 12 BAG"/>
    <x v="74"/>
    <x v="101"/>
    <x v="0"/>
    <x v="3"/>
    <x v="24"/>
    <n v="0.87180000000000002"/>
    <n v="4.3999999999999997E-2"/>
    <m/>
    <n v="8.5823999999999998"/>
    <n v="0.58599999999999997"/>
    <m/>
  </r>
  <r>
    <s v="PAMPERS SENSITIVE PH5.5 12 BAG"/>
    <x v="74"/>
    <x v="101"/>
    <x v="0"/>
    <x v="3"/>
    <x v="24"/>
    <n v="5.4508000000000001"/>
    <n v="2.1189"/>
    <n v="0.77749999999999997"/>
    <n v="70.866600000000005"/>
    <n v="26.7118"/>
    <n v="8.9403000000000006"/>
  </r>
  <r>
    <s v="PAMPERS BABY FRESH 24 BAG"/>
    <x v="74"/>
    <x v="101"/>
    <x v="0"/>
    <x v="2"/>
    <x v="27"/>
    <n v="9.06E-2"/>
    <m/>
    <m/>
    <n v="1.3372999999999999"/>
    <m/>
    <m/>
  </r>
  <r>
    <s v="PAMPERS SOLE E LUNA CAMOMILLA 50/25%BAG"/>
    <x v="74"/>
    <x v="101"/>
    <x v="0"/>
    <x v="0"/>
    <x v="28"/>
    <n v="1.3827"/>
    <n v="0.7681"/>
    <n v="2.3199999999999998E-2"/>
    <n v="23.328099999999999"/>
    <n v="13.2523"/>
    <n v="0.52669999999999995"/>
  </r>
  <r>
    <s v="PAMPERS AQUA HARMONIE 99%WATER 3X48 BAG"/>
    <x v="74"/>
    <x v="101"/>
    <x v="0"/>
    <x v="2"/>
    <x v="29"/>
    <m/>
    <m/>
    <n v="20.740400000000001"/>
    <m/>
    <m/>
    <n v="310.0301"/>
  </r>
  <r>
    <s v="PAMPERS AQUA HARMONIE 99%WATER AL.FR.48"/>
    <x v="74"/>
    <x v="101"/>
    <x v="0"/>
    <x v="2"/>
    <x v="29"/>
    <m/>
    <m/>
    <n v="1.2435"/>
    <m/>
    <m/>
    <n v="17.1813"/>
  </r>
  <r>
    <s v="PAMPERS AQUA PURE ALC.FREE 3X48 BAG"/>
    <x v="74"/>
    <x v="101"/>
    <x v="0"/>
    <x v="2"/>
    <x v="29"/>
    <n v="4.0780000000000003"/>
    <n v="35.126199999999997"/>
    <n v="26.273900000000001"/>
    <n v="71.718599999999995"/>
    <n v="592.5693"/>
    <n v="441.30500000000001"/>
  </r>
  <r>
    <s v="PAMPERS AQUA PURE ALC.FREE 48 BAG"/>
    <x v="74"/>
    <x v="101"/>
    <x v="0"/>
    <x v="2"/>
    <x v="29"/>
    <n v="264.06810000000002"/>
    <n v="329.44319999999999"/>
    <n v="205.9486"/>
    <n v="3958.0279"/>
    <n v="5113.9928"/>
    <n v="2876.5592000000001"/>
  </r>
  <r>
    <s v="PAMPERS BABY FRESH CLEAN W 2X52 BAG"/>
    <x v="74"/>
    <x v="101"/>
    <x v="0"/>
    <x v="2"/>
    <x v="20"/>
    <n v="8.5046999999999997"/>
    <n v="12.872299999999999"/>
    <n v="4.3821000000000003"/>
    <n v="194.4057"/>
    <n v="338.25259999999997"/>
    <n v="110.48520000000001"/>
  </r>
  <r>
    <s v="PAMPERS BABY FRESH CLEAN W 4X52 BAG"/>
    <x v="74"/>
    <x v="101"/>
    <x v="0"/>
    <x v="2"/>
    <x v="20"/>
    <n v="171.4581"/>
    <n v="146.56880000000001"/>
    <n v="94.527100000000004"/>
    <n v="5827.8176999999996"/>
    <n v="5036.4476000000004"/>
    <n v="3121.8564000000001"/>
  </r>
  <r>
    <s v="PAMPERS BABY FRESH CLEAN W 52 BAG"/>
    <x v="74"/>
    <x v="101"/>
    <x v="0"/>
    <x v="2"/>
    <x v="20"/>
    <n v="195.73400000000001"/>
    <n v="242.5813"/>
    <n v="163.20820000000001"/>
    <n v="3936.1988000000001"/>
    <n v="5003.2757000000001"/>
    <n v="3062.0891000000001"/>
  </r>
  <r>
    <s v="PAMPERS BABY FRESH CLEAN W 52 BAG+DIA 38"/>
    <x v="74"/>
    <x v="101"/>
    <x v="0"/>
    <x v="2"/>
    <x v="20"/>
    <n v="0.2492"/>
    <n v="5.8500000000000003E-2"/>
    <m/>
    <n v="4.6970000000000001"/>
    <n v="1.1557999999999999"/>
    <m/>
  </r>
  <r>
    <s v="PAMPERS BABY FRESH CLEAN W 52 BAG+DIA 40"/>
    <x v="74"/>
    <x v="101"/>
    <x v="0"/>
    <x v="2"/>
    <x v="20"/>
    <n v="0.97950000000000004"/>
    <m/>
    <m/>
    <n v="23.239000000000001"/>
    <m/>
    <m/>
  </r>
  <r>
    <s v="PAMPERS BABY FRESH CLEAN W 52 BAG+DIA 42"/>
    <x v="74"/>
    <x v="101"/>
    <x v="0"/>
    <x v="2"/>
    <x v="20"/>
    <n v="1.0518000000000001"/>
    <m/>
    <m/>
    <n v="15.4772"/>
    <m/>
    <m/>
  </r>
  <r>
    <s v="PAMPERS BABY FRESH CLEAN W 52 BAG+DIA 44"/>
    <x v="74"/>
    <x v="101"/>
    <x v="0"/>
    <x v="2"/>
    <x v="20"/>
    <n v="1.23"/>
    <n v="5.5100000000000003E-2"/>
    <m/>
    <n v="22.518699999999999"/>
    <n v="1.0911"/>
    <m/>
  </r>
  <r>
    <s v="PAMPERS BABY FRESH CLEAN W 52 BAG+DIA 51"/>
    <x v="74"/>
    <x v="101"/>
    <x v="0"/>
    <x v="2"/>
    <x v="20"/>
    <n v="0.64070000000000005"/>
    <m/>
    <m/>
    <n v="15.170299999999999"/>
    <m/>
    <m/>
  </r>
  <r>
    <s v="PAMPERS BABY FRESH CLEAN W 52 BAG+DIA 52"/>
    <x v="74"/>
    <x v="101"/>
    <x v="0"/>
    <x v="2"/>
    <x v="20"/>
    <n v="0.8125"/>
    <n v="2.2100000000000002E-2"/>
    <m/>
    <n v="14.451000000000001"/>
    <n v="0.38290000000000002"/>
    <m/>
  </r>
  <r>
    <s v="PAMPERS BABY FRESH CLEAN W 52 BAG+DIA 53"/>
    <x v="74"/>
    <x v="101"/>
    <x v="0"/>
    <x v="2"/>
    <x v="20"/>
    <n v="0.40889999999999999"/>
    <n v="7.7899999999999997E-2"/>
    <m/>
    <n v="9.6999999999999993"/>
    <n v="1.9962"/>
    <m/>
  </r>
  <r>
    <s v="PAMPERS BABY FRESH CLEAN W 52 BAG+DIA 54"/>
    <x v="74"/>
    <x v="101"/>
    <x v="0"/>
    <x v="2"/>
    <x v="20"/>
    <n v="1.716"/>
    <m/>
    <m/>
    <n v="43.815600000000003"/>
    <m/>
    <m/>
  </r>
  <r>
    <s v="PAMPERS BABY FRESH CLEAN W 52 BAG+DIA 58"/>
    <x v="74"/>
    <x v="101"/>
    <x v="0"/>
    <x v="2"/>
    <x v="20"/>
    <n v="0.17050000000000001"/>
    <n v="7.7700000000000005E-2"/>
    <m/>
    <n v="3.5674000000000001"/>
    <n v="1.7087000000000001"/>
    <m/>
  </r>
  <r>
    <s v="PAMPERS BABY FRESH CLEAN W 52 BAG+DIA 60"/>
    <x v="74"/>
    <x v="101"/>
    <x v="0"/>
    <x v="2"/>
    <x v="20"/>
    <n v="1.5501"/>
    <n v="0.42659999999999998"/>
    <n v="0.12859999999999999"/>
    <n v="28.959800000000001"/>
    <n v="8.7736999999999998"/>
    <n v="2.5320999999999998"/>
  </r>
  <r>
    <s v="PAMPERS BABY FRESH CLEAN W 52 BAG+DIA 66"/>
    <x v="74"/>
    <x v="101"/>
    <x v="0"/>
    <x v="2"/>
    <x v="20"/>
    <n v="0.83640000000000003"/>
    <n v="0.51139999999999997"/>
    <m/>
    <n v="18.6389"/>
    <n v="9.5508000000000006"/>
    <m/>
  </r>
  <r>
    <s v="PAMPERS BABY FRESH CLEAN W 52 BAG+DIA 68"/>
    <x v="74"/>
    <x v="101"/>
    <x v="0"/>
    <x v="2"/>
    <x v="20"/>
    <n v="0.72089999999999999"/>
    <m/>
    <m/>
    <n v="9.8262"/>
    <m/>
    <m/>
  </r>
  <r>
    <s v="PAMPERS BABY FRESH CLEAN W 52 BAG+DIA 76"/>
    <x v="74"/>
    <x v="101"/>
    <x v="0"/>
    <x v="2"/>
    <x v="20"/>
    <n v="0.48470000000000002"/>
    <m/>
    <m/>
    <n v="10.088699999999999"/>
    <m/>
    <m/>
  </r>
  <r>
    <s v="PAMPERS BABY FRESH CLEAN W 52 BAG+DIA 78"/>
    <x v="74"/>
    <x v="101"/>
    <x v="0"/>
    <x v="2"/>
    <x v="20"/>
    <n v="1.3634999999999999"/>
    <n v="2.1999999999999999E-2"/>
    <m/>
    <n v="21.971299999999999"/>
    <n v="0.34660000000000002"/>
    <m/>
  </r>
  <r>
    <s v="PAMPERS BABY FRESH CLEAN W 52 BAG+DIA 90"/>
    <x v="74"/>
    <x v="101"/>
    <x v="0"/>
    <x v="2"/>
    <x v="20"/>
    <n v="0.2001"/>
    <m/>
    <m/>
    <n v="3.1530999999999998"/>
    <m/>
    <m/>
  </r>
  <r>
    <s v="PAMPERS BABY FRESH CLEAN W 52 BAG+DIA104"/>
    <x v="74"/>
    <x v="101"/>
    <x v="0"/>
    <x v="2"/>
    <x v="20"/>
    <n v="0.30409999999999998"/>
    <m/>
    <m/>
    <n v="4.4311999999999996"/>
    <m/>
    <m/>
  </r>
  <r>
    <s v="PAMPERS BABY FRESH CLEAN W 52 BAG+DIA50"/>
    <x v="74"/>
    <x v="101"/>
    <x v="0"/>
    <x v="2"/>
    <x v="20"/>
    <n v="1.4756"/>
    <n v="0.29549999999999998"/>
    <n v="0.13869999999999999"/>
    <n v="38.575499999999998"/>
    <n v="5.6929999999999996"/>
    <n v="2.5320999999999998"/>
  </r>
  <r>
    <s v="PAMPERS BABY FRESH CLEAN W 52+DIA PANT38"/>
    <x v="74"/>
    <x v="101"/>
    <x v="0"/>
    <x v="2"/>
    <x v="20"/>
    <n v="0.92279999999999995"/>
    <m/>
    <m/>
    <n v="21.822199999999999"/>
    <m/>
    <m/>
  </r>
  <r>
    <s v="PAMPERS BABY FRESH CLEAN W 6X52 BAG"/>
    <x v="74"/>
    <x v="101"/>
    <x v="0"/>
    <x v="2"/>
    <x v="20"/>
    <n v="105.723"/>
    <n v="231.39109999999999"/>
    <n v="190.30779999999999"/>
    <n v="3632.1455999999998"/>
    <n v="7878.6941999999999"/>
    <n v="6167.0902999999998"/>
  </r>
  <r>
    <s v="PAMPERS BABY FRESH CLEAN W52+DIA ACT6 44"/>
    <x v="74"/>
    <x v="101"/>
    <x v="0"/>
    <x v="2"/>
    <x v="20"/>
    <n v="0.97140000000000004"/>
    <n v="3.1E-2"/>
    <m/>
    <n v="22.952100000000002"/>
    <n v="0.70540000000000003"/>
    <m/>
  </r>
  <r>
    <s v="PAMPERS BABY FRESH CLEAN W52+DIA PANTS60"/>
    <x v="74"/>
    <x v="101"/>
    <x v="0"/>
    <x v="2"/>
    <x v="20"/>
    <n v="0.23680000000000001"/>
    <m/>
    <m/>
    <n v="4.3052000000000001"/>
    <m/>
    <m/>
  </r>
  <r>
    <s v="PAMPERS SENSITIVE PH5.5 2X52 BAG"/>
    <x v="74"/>
    <x v="101"/>
    <x v="0"/>
    <x v="3"/>
    <x v="20"/>
    <n v="40.155500000000004"/>
    <n v="53.039099999999998"/>
    <n v="19.640599999999999"/>
    <n v="809.24120000000005"/>
    <n v="1117.5988"/>
    <n v="353.57029999999997"/>
  </r>
  <r>
    <s v="PAMPERS SENSITIVE PH5.5 4X52 BAG"/>
    <x v="74"/>
    <x v="101"/>
    <x v="0"/>
    <x v="3"/>
    <x v="20"/>
    <n v="124.0141"/>
    <n v="119.1621"/>
    <n v="72.991100000000003"/>
    <n v="4179.8078999999998"/>
    <n v="4057.9854"/>
    <n v="2439.5360000000001"/>
  </r>
  <r>
    <s v="PAMPERS SENSITIVE PH5.5 52 BAG"/>
    <x v="74"/>
    <x v="101"/>
    <x v="0"/>
    <x v="3"/>
    <x v="20"/>
    <n v="126.2456"/>
    <n v="161.7927"/>
    <n v="82.616799999999998"/>
    <n v="2585.6873000000001"/>
    <n v="3416.431"/>
    <n v="1611.8206"/>
  </r>
  <r>
    <s v="PAMPERS SENSITIVE PH5.5 6X52 BAG"/>
    <x v="74"/>
    <x v="101"/>
    <x v="0"/>
    <x v="3"/>
    <x v="20"/>
    <n v="95.148099999999999"/>
    <n v="213.16730000000001"/>
    <n v="155.60400000000001"/>
    <n v="3171.4767999999999"/>
    <n v="7264.2154"/>
    <n v="5013.7686000000003"/>
  </r>
  <r>
    <s v="PAMPERS SENSITIVE 54 BAG KAPAK"/>
    <x v="74"/>
    <x v="101"/>
    <x v="0"/>
    <x v="3"/>
    <x v="25"/>
    <n v="19.249199999999998"/>
    <n v="1.4004000000000001"/>
    <m/>
    <n v="316.69850000000002"/>
    <n v="25.215900000000001"/>
    <m/>
  </r>
  <r>
    <s v="PAMPERS SENSITIVE 2X56 BAG"/>
    <x v="74"/>
    <x v="101"/>
    <x v="0"/>
    <x v="3"/>
    <x v="6"/>
    <n v="0.76639999999999997"/>
    <n v="3.6499999999999998E-2"/>
    <m/>
    <n v="14.48"/>
    <n v="0.67200000000000004"/>
    <m/>
  </r>
  <r>
    <s v="PAMPERS SENSITIVE 4X56 BAG"/>
    <x v="74"/>
    <x v="101"/>
    <x v="0"/>
    <x v="3"/>
    <x v="6"/>
    <n v="0.17649999999999999"/>
    <m/>
    <m/>
    <n v="2.9144999999999999"/>
    <m/>
    <m/>
  </r>
  <r>
    <s v="PAMPERS SENSITIVE 56 BAG"/>
    <x v="74"/>
    <x v="101"/>
    <x v="0"/>
    <x v="3"/>
    <x v="6"/>
    <n v="3.9998"/>
    <n v="2.0327000000000002"/>
    <n v="0.44619999999999999"/>
    <n v="76.599100000000007"/>
    <n v="45.206499999999998"/>
    <n v="9.7993000000000006"/>
  </r>
  <r>
    <s v="PAMPERS SENSITIVE 56 BAG KAPAK"/>
    <x v="74"/>
    <x v="101"/>
    <x v="0"/>
    <x v="3"/>
    <x v="6"/>
    <n v="3.4256000000000002"/>
    <n v="0.1051"/>
    <m/>
    <n v="52.9163"/>
    <n v="1.5987"/>
    <m/>
  </r>
  <r>
    <s v="PAMPERS SENSITIVE 56 BAG+DIA PANTS3 60"/>
    <x v="74"/>
    <x v="101"/>
    <x v="0"/>
    <x v="3"/>
    <x v="6"/>
    <n v="2.7799999999999998E-2"/>
    <m/>
    <m/>
    <n v="0.59"/>
    <m/>
    <m/>
  </r>
  <r>
    <s v="PAMPERS SENSITIVE 56 BAG+DIA PANTS4 52"/>
    <x v="74"/>
    <x v="101"/>
    <x v="0"/>
    <x v="3"/>
    <x v="6"/>
    <n v="2.0205000000000002"/>
    <n v="6.1100000000000002E-2"/>
    <n v="4.3E-3"/>
    <n v="30.746600000000001"/>
    <n v="0.89600000000000002"/>
    <n v="5.6000000000000001E-2"/>
  </r>
  <r>
    <s v="PAMPERS SENSITIVE 56 BAG+DIA PANTS5 48 1"/>
    <x v="74"/>
    <x v="101"/>
    <x v="0"/>
    <x v="3"/>
    <x v="6"/>
    <n v="2.1128999999999998"/>
    <n v="3.0200000000000001E-2"/>
    <m/>
    <n v="32.116500000000002"/>
    <n v="0.44800000000000001"/>
    <m/>
  </r>
  <r>
    <s v="PAMPERS SENSITIVE 56 BAG+DIA PR CARE54"/>
    <x v="74"/>
    <x v="101"/>
    <x v="0"/>
    <x v="3"/>
    <x v="6"/>
    <n v="0.03"/>
    <n v="5.8999999999999999E-3"/>
    <m/>
    <n v="0.67200000000000004"/>
    <n v="0.16800000000000001"/>
    <m/>
  </r>
  <r>
    <s v="PAMPERS SENSITIVE 56 BAG+DIAPREMCARE3 60"/>
    <x v="74"/>
    <x v="101"/>
    <x v="0"/>
    <x v="3"/>
    <x v="6"/>
    <n v="3.5200000000000002E-2"/>
    <m/>
    <m/>
    <n v="0.65949999999999998"/>
    <m/>
    <m/>
  </r>
  <r>
    <s v="PAMPERS SENSITIVE 56 BAG+DIAPREMCARE5 44"/>
    <x v="74"/>
    <x v="101"/>
    <x v="0"/>
    <x v="3"/>
    <x v="6"/>
    <n v="0.17460000000000001"/>
    <n v="5.2699999999999997E-2"/>
    <n v="1.09E-2"/>
    <n v="3.8159000000000001"/>
    <n v="1.4"/>
    <n v="0.28000000000000003"/>
  </r>
  <r>
    <s v="PAMPERS SENSITIVE 6X56/2BR FREE BAG"/>
    <x v="74"/>
    <x v="101"/>
    <x v="0"/>
    <x v="3"/>
    <x v="6"/>
    <n v="1.0412999999999999"/>
    <m/>
    <m/>
    <n v="23.5031"/>
    <m/>
    <m/>
  </r>
  <r>
    <s v="PAMPERS SENSITIVE CAMOMILE&amp;ALOE 56 BAG"/>
    <x v="74"/>
    <x v="101"/>
    <x v="0"/>
    <x v="3"/>
    <x v="6"/>
    <n v="3.8100000000000002E-2"/>
    <n v="7.4000000000000003E-3"/>
    <n v="1.11E-2"/>
    <n v="0.67200000000000004"/>
    <n v="0.112"/>
    <n v="0.16800000000000001"/>
  </r>
  <r>
    <s v="PAMPERS SENSITIVE SOFTLIKECOTTON 56 BAG"/>
    <x v="74"/>
    <x v="101"/>
    <x v="0"/>
    <x v="3"/>
    <x v="6"/>
    <n v="1.0855999999999999"/>
    <n v="0.58120000000000005"/>
    <m/>
    <n v="19.170200000000001"/>
    <n v="10.2963"/>
    <m/>
  </r>
  <r>
    <s v="PAMPERS SENSITIVE W 6X56/336 BAG"/>
    <x v="74"/>
    <x v="101"/>
    <x v="0"/>
    <x v="3"/>
    <x v="6"/>
    <n v="0.72109999999999996"/>
    <n v="5.3105000000000002"/>
    <m/>
    <n v="13.8162"/>
    <n v="130.43450000000001"/>
    <m/>
  </r>
  <r>
    <s v="PAMPERS SENSITIVE XXL W 6X56/2BR FR BAG"/>
    <x v="74"/>
    <x v="101"/>
    <x v="0"/>
    <x v="3"/>
    <x v="6"/>
    <n v="0.80620000000000003"/>
    <m/>
    <m/>
    <n v="18.060500000000001"/>
    <m/>
    <m/>
  </r>
  <r>
    <s v="PAMPERS BABY FRESH ALOE W 64 BAG"/>
    <x v="74"/>
    <x v="101"/>
    <x v="0"/>
    <x v="2"/>
    <x v="7"/>
    <n v="15.5359"/>
    <n v="0.67789999999999995"/>
    <m/>
    <n v="345.3125"/>
    <n v="13.0631"/>
    <m/>
  </r>
  <r>
    <s v="PAMPERS BABY FRESH CLEAN W 4X64 BAG"/>
    <x v="74"/>
    <x v="101"/>
    <x v="0"/>
    <x v="0"/>
    <x v="7"/>
    <n v="0.33579999999999999"/>
    <m/>
    <m/>
    <n v="9.1472999999999995"/>
    <m/>
    <m/>
  </r>
  <r>
    <s v="PAMPERS BABY FRESH CLEAN W 64 BAG"/>
    <x v="74"/>
    <x v="101"/>
    <x v="0"/>
    <x v="0"/>
    <x v="7"/>
    <n v="27.901900000000001"/>
    <n v="8.1903000000000006"/>
    <n v="0.88470000000000004"/>
    <n v="618.1096"/>
    <n v="185.2071"/>
    <n v="18.353999999999999"/>
  </r>
  <r>
    <s v="PAMPERS BABY FRESH CLEAN W 64 BAG+DIA 42"/>
    <x v="74"/>
    <x v="101"/>
    <x v="0"/>
    <x v="0"/>
    <x v="7"/>
    <n v="2.58E-2"/>
    <n v="7.9000000000000008E-3"/>
    <m/>
    <n v="0.57599999999999996"/>
    <n v="0.38400000000000001"/>
    <m/>
  </r>
  <r>
    <s v="PAMPERS BABY FRESH CLEAN W 64 BAG+DIA68"/>
    <x v="74"/>
    <x v="101"/>
    <x v="0"/>
    <x v="0"/>
    <x v="7"/>
    <n v="0.55289999999999995"/>
    <n v="0.47820000000000001"/>
    <n v="8.14E-2"/>
    <n v="17.2395"/>
    <n v="16.416799999999999"/>
    <n v="2.5183"/>
  </r>
  <r>
    <s v="PAMPERS BABY FRESH CLEAN W 6X64/384 BAG"/>
    <x v="74"/>
    <x v="101"/>
    <x v="0"/>
    <x v="0"/>
    <x v="7"/>
    <n v="3.53"/>
    <n v="1.6247"/>
    <m/>
    <n v="92.468000000000004"/>
    <n v="38.321599999999997"/>
    <m/>
  </r>
  <r>
    <s v="PAMPERS BABY FRESH ECONOMY W 2X64 BAG"/>
    <x v="74"/>
    <x v="101"/>
    <x v="0"/>
    <x v="2"/>
    <x v="7"/>
    <n v="0.42930000000000001"/>
    <n v="0.67159999999999997"/>
    <m/>
    <n v="9.3439999999999994"/>
    <n v="12.986599999999999"/>
    <m/>
  </r>
  <r>
    <s v="PAMPERS BABYFRESHCLEAN ALOE W 6X64/2BRFR"/>
    <x v="74"/>
    <x v="101"/>
    <x v="0"/>
    <x v="0"/>
    <x v="7"/>
    <n v="0.48170000000000002"/>
    <m/>
    <m/>
    <n v="13.007199999999999"/>
    <m/>
    <m/>
  </r>
  <r>
    <s v="PAMPERS BABYFRESHCLEAN W 3X64/1FREE BAG"/>
    <x v="74"/>
    <x v="101"/>
    <x v="0"/>
    <x v="0"/>
    <x v="7"/>
    <m/>
    <m/>
    <n v="8.9800000000000005E-2"/>
    <m/>
    <m/>
    <n v="1.9842"/>
  </r>
  <r>
    <s v="PAMPERS CLEAN&amp;PLAY 64 BAG"/>
    <x v="74"/>
    <x v="101"/>
    <x v="0"/>
    <x v="0"/>
    <x v="7"/>
    <m/>
    <m/>
    <n v="0.16889999999999999"/>
    <m/>
    <m/>
    <n v="4.3247"/>
  </r>
  <r>
    <s v="PAMPERS NATURAL CLEAN W 64 BAG KAPAK"/>
    <x v="74"/>
    <x v="101"/>
    <x v="0"/>
    <x v="0"/>
    <x v="7"/>
    <n v="4.2949000000000002"/>
    <n v="0.33839999999999998"/>
    <m/>
    <n v="87.926599999999993"/>
    <n v="6.2496999999999998"/>
    <m/>
  </r>
  <r>
    <s v="PAMPERS NATURALCLEAN FRAGR.FREE W 64 BAG"/>
    <x v="74"/>
    <x v="101"/>
    <x v="0"/>
    <x v="0"/>
    <x v="7"/>
    <n v="13.5303"/>
    <n v="2.3972000000000002"/>
    <n v="0.73670000000000002"/>
    <n v="272.4522"/>
    <n v="43.2258"/>
    <n v="13.669700000000001"/>
  </r>
  <r>
    <s v="PAMPERS NATURALLY CLEAN W 4X64 BAG"/>
    <x v="74"/>
    <x v="101"/>
    <x v="0"/>
    <x v="0"/>
    <x v="7"/>
    <n v="8.9724000000000004"/>
    <n v="2.3250000000000002"/>
    <n v="9.6000000000000002E-2"/>
    <n v="202.00700000000001"/>
    <n v="55.267699999999998"/>
    <n v="2.0488"/>
  </r>
  <r>
    <s v="PAMPERS NATURALLY CLEAN+CHAMOMILE W 2X64"/>
    <x v="74"/>
    <x v="101"/>
    <x v="0"/>
    <x v="0"/>
    <x v="7"/>
    <n v="0.24310000000000001"/>
    <n v="0.1048"/>
    <m/>
    <n v="5.5039999999999996"/>
    <n v="2.3589000000000002"/>
    <m/>
  </r>
  <r>
    <s v="PAMPERS BABY FRESH CLEAN XXL W 80 BAG"/>
    <x v="74"/>
    <x v="101"/>
    <x v="0"/>
    <x v="2"/>
    <x v="1"/>
    <n v="299.24509999999998"/>
    <n v="239.40260000000001"/>
    <n v="70.132900000000006"/>
    <n v="8505.4575000000004"/>
    <n v="6543.0663999999997"/>
    <n v="1626.3281999999999"/>
  </r>
  <r>
    <s v="PAMPERS SENSITIVE PH5.5 XXL 80 BAG"/>
    <x v="74"/>
    <x v="101"/>
    <x v="0"/>
    <x v="3"/>
    <x v="1"/>
    <n v="228.9504"/>
    <n v="220.107"/>
    <n v="99.616699999999994"/>
    <n v="6068.1558999999997"/>
    <n v="5788.4287000000004"/>
    <n v="2377.8838000000001"/>
  </r>
  <r>
    <s v="PAMPERS HARMONIE COCO AL.FREE 3X42 BAG"/>
    <x v="74"/>
    <x v="101"/>
    <x v="0"/>
    <x v="2"/>
    <x v="30"/>
    <m/>
    <m/>
    <n v="4.2099999999999999E-2"/>
    <m/>
    <m/>
    <n v="0.45"/>
  </r>
  <r>
    <s v="PAMPERS HARMONIE COCO AL.FREE 42 BAG"/>
    <x v="74"/>
    <x v="101"/>
    <x v="0"/>
    <x v="2"/>
    <x v="30"/>
    <m/>
    <m/>
    <n v="0.3543"/>
    <m/>
    <m/>
    <n v="4.1279000000000003"/>
  </r>
  <r>
    <s v="PAMPERS PURE COCONUT AL.FREE 3X42 BAG"/>
    <x v="74"/>
    <x v="101"/>
    <x v="0"/>
    <x v="2"/>
    <x v="30"/>
    <n v="9.0039999999999996"/>
    <n v="27.005199999999999"/>
    <n v="7.3737000000000004"/>
    <n v="168.55369999999999"/>
    <n v="470.04379999999998"/>
    <n v="117.492"/>
  </r>
  <r>
    <s v="PAMPERS PURE COCONUT AL.FREE 42 BAG"/>
    <x v="74"/>
    <x v="101"/>
    <x v="0"/>
    <x v="2"/>
    <x v="30"/>
    <n v="9.5648"/>
    <n v="36.633899999999997"/>
    <n v="14.959"/>
    <n v="136.73179999999999"/>
    <n v="512.46489999999994"/>
    <n v="178.05029999999999"/>
  </r>
  <r>
    <s v="PAMPERS 72 R BAG"/>
    <x v="74"/>
    <x v="101"/>
    <x v="0"/>
    <x v="0"/>
    <x v="8"/>
    <n v="0.18679999999999999"/>
    <m/>
    <m/>
    <n v="4.4957000000000003"/>
    <m/>
    <m/>
  </r>
  <r>
    <s v="PAMPERS SENSITIVE 56 BOX"/>
    <x v="74"/>
    <x v="101"/>
    <x v="1"/>
    <x v="3"/>
    <x v="6"/>
    <n v="0.2319"/>
    <m/>
    <m/>
    <n v="3.4005999999999998"/>
    <m/>
    <m/>
  </r>
  <r>
    <s v="PRIMA HASSAS CILTLER W 56 BAG"/>
    <x v="74"/>
    <x v="102"/>
    <x v="0"/>
    <x v="3"/>
    <x v="6"/>
    <n v="0.2671"/>
    <m/>
    <m/>
    <n v="5.0296000000000003"/>
    <m/>
    <m/>
  </r>
  <r>
    <s v="PRIMA  FreshClean ALOE W 64 BAG"/>
    <x v="74"/>
    <x v="102"/>
    <x v="0"/>
    <x v="0"/>
    <x v="7"/>
    <n v="0.10589999999999999"/>
    <n v="1.12E-2"/>
    <m/>
    <n v="2.2591999999999999"/>
    <n v="0.2389"/>
    <m/>
  </r>
  <r>
    <s v="URIAGE BEBE HYPOALERGENIC W 2X70/1FR BAG"/>
    <x v="75"/>
    <x v="103"/>
    <x v="0"/>
    <x v="5"/>
    <x v="18"/>
    <n v="2.1598999999999999"/>
    <n v="5.1025"/>
    <n v="6.3079000000000001"/>
    <n v="36.4"/>
    <n v="77.862799999999993"/>
    <n v="91.042100000000005"/>
  </r>
  <r>
    <s v="URIAGE BEBE HYPOALERGENIC W 70 BAG"/>
    <x v="75"/>
    <x v="103"/>
    <x v="0"/>
    <x v="5"/>
    <x v="18"/>
    <n v="10.1408"/>
    <n v="7.4416000000000002"/>
    <n v="2.3571"/>
    <n v="91.191500000000005"/>
    <n v="64.807599999999994"/>
    <n v="19.349299999999999"/>
  </r>
  <r>
    <s v="BIMBO&amp;BIMBA CHAMOMILE&amp;ALOE W 80 BAG"/>
    <x v="76"/>
    <x v="104"/>
    <x v="0"/>
    <x v="1"/>
    <x v="1"/>
    <n v="2.9045000000000001"/>
    <m/>
    <m/>
    <n v="116.9823"/>
    <m/>
    <m/>
  </r>
  <r>
    <s v="BIMBO&amp;BIMBA CHAMOMILE&amp;CALENDULA W 80 BAG"/>
    <x v="76"/>
    <x v="104"/>
    <x v="0"/>
    <x v="0"/>
    <x v="1"/>
    <n v="2.9113000000000002"/>
    <m/>
    <m/>
    <n v="119.83880000000001"/>
    <m/>
    <m/>
  </r>
  <r>
    <s v="BIMBO&amp;BIMBA CHAMOMILE&amp;LAVENDER W 80 BAG"/>
    <x v="76"/>
    <x v="104"/>
    <x v="0"/>
    <x v="0"/>
    <x v="1"/>
    <n v="4.2324000000000002"/>
    <m/>
    <m/>
    <n v="171.05330000000001"/>
    <m/>
    <m/>
  </r>
  <r>
    <s v="BIMBO&amp;BIMBA CHAMOMILE&amp;SMRADLIKA W 80 BAG"/>
    <x v="76"/>
    <x v="104"/>
    <x v="0"/>
    <x v="1"/>
    <x v="1"/>
    <n v="2.6360000000000001"/>
    <m/>
    <m/>
    <n v="103.9999"/>
    <m/>
    <m/>
  </r>
  <r>
    <s v="VIBELLE BABY RASPBERRY VIT E PH5.5 W 144"/>
    <x v="76"/>
    <x v="105"/>
    <x v="0"/>
    <x v="1"/>
    <x v="31"/>
    <n v="59.2014"/>
    <n v="82.022099999999995"/>
    <n v="31.495899999999999"/>
    <n v="4163.6220999999996"/>
    <n v="5172.0583999999999"/>
    <n v="1931.7985000000001"/>
  </r>
  <r>
    <s v="VIBELLE BABY ULTRA SENS.ROSE PH5.5 W 144"/>
    <x v="76"/>
    <x v="105"/>
    <x v="0"/>
    <x v="1"/>
    <x v="31"/>
    <n v="6.7272999999999996"/>
    <n v="1.7110000000000001"/>
    <n v="1.5649999999999999"/>
    <n v="473.34"/>
    <n v="112.14570000000001"/>
    <n v="108.86020000000001"/>
  </r>
  <r>
    <s v="BELUX BABY SENS.CREAM LOTION W 120 BAG"/>
    <x v="77"/>
    <x v="106"/>
    <x v="0"/>
    <x v="3"/>
    <x v="3"/>
    <n v="53.944000000000003"/>
    <n v="41.741"/>
    <n v="12.7791"/>
    <n v="3422.2186000000002"/>
    <n v="2176.2671999999998"/>
    <n v="723.71550000000002"/>
  </r>
  <r>
    <s v="BELUX ULTRA SENSITIVE W 120/48GRATIS BAG"/>
    <x v="77"/>
    <x v="106"/>
    <x v="0"/>
    <x v="3"/>
    <x v="8"/>
    <n v="10.5024"/>
    <n v="1.2988"/>
    <n v="0.38090000000000002"/>
    <n v="626.13580000000002"/>
    <n v="67.750100000000003"/>
    <n v="17.785299999999999"/>
  </r>
  <r>
    <s v="SECKIN PROVITB5 PH5.5 ALC.FREE W 102 BAG"/>
    <x v="77"/>
    <x v="107"/>
    <x v="0"/>
    <x v="1"/>
    <x v="32"/>
    <n v="1.4174"/>
    <n v="2.3006000000000002"/>
    <m/>
    <n v="78.384500000000003"/>
    <n v="113.29300000000001"/>
    <m/>
  </r>
  <r>
    <s v="SOFT CARE COTTON VIT ECHAMOMILE W 72 BAG"/>
    <x v="78"/>
    <x v="108"/>
    <x v="0"/>
    <x v="4"/>
    <x v="8"/>
    <n v="2.9096000000000002"/>
    <n v="6.0198"/>
    <n v="5.5109000000000004"/>
    <n v="55.366500000000002"/>
    <n v="108.4705"/>
    <n v="98.710099999999997"/>
  </r>
  <r>
    <s v="HOPS P H5.5 W 90/18BONUS ORANJEVI BAG"/>
    <x v="79"/>
    <x v="109"/>
    <x v="0"/>
    <x v="1"/>
    <x v="8"/>
    <m/>
    <m/>
    <n v="9.1999999999999998E-3"/>
    <m/>
    <m/>
    <n v="0.30320000000000003"/>
  </r>
  <r>
    <s v="DOCTOR WIPES BABY GRAPES W 60 BAG KAPAK"/>
    <x v="80"/>
    <x v="110"/>
    <x v="0"/>
    <x v="1"/>
    <x v="11"/>
    <n v="0.35610000000000003"/>
    <m/>
    <m/>
    <n v="5.6227"/>
    <m/>
    <m/>
  </r>
  <r>
    <s v="DOCTOR WIPES BABY W 72 BAG &amp;&amp;&amp;"/>
    <x v="80"/>
    <x v="110"/>
    <x v="0"/>
    <x v="0"/>
    <x v="8"/>
    <n v="1.3764000000000001"/>
    <n v="2.7699999999999999E-2"/>
    <m/>
    <n v="28.943100000000001"/>
    <n v="0.64290000000000003"/>
    <m/>
  </r>
  <r>
    <s v="MEDPROFESSIONAL BABYPOWDERARGANOIL W 24"/>
    <x v="80"/>
    <x v="111"/>
    <x v="0"/>
    <x v="2"/>
    <x v="27"/>
    <n v="6.7664999999999997"/>
    <n v="0.54779999999999995"/>
    <m/>
    <n v="162.6651"/>
    <n v="12.7288"/>
    <m/>
  </r>
  <r>
    <s v="MED PROFESSIONAL BABY ALOE VERA W 60 BAG"/>
    <x v="80"/>
    <x v="111"/>
    <x v="0"/>
    <x v="2"/>
    <x v="11"/>
    <n v="14.513400000000001"/>
    <n v="11.551399999999999"/>
    <n v="8.6715"/>
    <n v="383.46769999999998"/>
    <n v="307.81580000000002"/>
    <n v="255.3304"/>
  </r>
  <r>
    <s v="MEDPROFESSIONAL BABYGRAPESEEDOIL W 60BAG"/>
    <x v="80"/>
    <x v="111"/>
    <x v="0"/>
    <x v="2"/>
    <x v="11"/>
    <n v="17.654699999999998"/>
    <n v="12.539"/>
    <n v="4.6113"/>
    <n v="482.61590000000001"/>
    <n v="340.10579999999999"/>
    <n v="153.12389999999999"/>
  </r>
  <r>
    <s v="SPRING LINE  FreshClean W 120 BAG &amp;&amp;&amp;"/>
    <x v="80"/>
    <x v="112"/>
    <x v="0"/>
    <x v="0"/>
    <x v="3"/>
    <n v="20.231999999999999"/>
    <n v="11.313700000000001"/>
    <m/>
    <n v="583.67819999999995"/>
    <n v="345.19709999999998"/>
    <m/>
  </r>
  <r>
    <s v="GIAN BABY CREAM PH5.5 W 120 BAG"/>
    <x v="81"/>
    <x v="113"/>
    <x v="0"/>
    <x v="1"/>
    <x v="3"/>
    <m/>
    <n v="20.586300000000001"/>
    <n v="29.262499999999999"/>
    <m/>
    <n v="1265.0245"/>
    <n v="1657.2372"/>
  </r>
  <r>
    <s v="GIAN BABY CREAM PH5.5 W 72 BAG"/>
    <x v="81"/>
    <x v="113"/>
    <x v="0"/>
    <x v="1"/>
    <x v="8"/>
    <n v="26.3474"/>
    <n v="52.005499999999998"/>
    <n v="32.744900000000001"/>
    <n v="920.46799999999996"/>
    <n v="1819.1769999999999"/>
    <n v="1062.7058999999999"/>
  </r>
  <r>
    <s v="SEBAMED BABYCLEANSING EXTRASOFT W 72 BAG"/>
    <x v="82"/>
    <x v="114"/>
    <x v="0"/>
    <x v="0"/>
    <x v="8"/>
    <n v="0.1701"/>
    <n v="0.71989999999999998"/>
    <n v="4.9299999999999997E-2"/>
    <n v="1.008"/>
    <n v="3.8765000000000001"/>
    <n v="0.28799999999999998"/>
  </r>
  <r>
    <s v="SEBAMED BABY OIL WIPES W 70 BOX"/>
    <x v="82"/>
    <x v="114"/>
    <x v="1"/>
    <x v="0"/>
    <x v="18"/>
    <n v="0.8034"/>
    <n v="0.64690000000000003"/>
    <n v="0.2069"/>
    <n v="3.92"/>
    <n v="3.48"/>
    <n v="1.1399999999999999"/>
  </r>
  <r>
    <s v="MAMMI PH5.5 ALC.FREE W 72 BAG SINI"/>
    <x v="83"/>
    <x v="115"/>
    <x v="0"/>
    <x v="1"/>
    <x v="8"/>
    <n v="16.393699999999999"/>
    <n v="13.5199"/>
    <n v="5.5843999999999996"/>
    <n v="841.14940000000001"/>
    <n v="693.07759999999996"/>
    <n v="305.17070000000001"/>
  </r>
  <r>
    <s v="MAMMI PH5.5 ALC.FREE W 72 BAG ZELENI"/>
    <x v="83"/>
    <x v="115"/>
    <x v="0"/>
    <x v="1"/>
    <x v="8"/>
    <n v="2.1175000000000002"/>
    <n v="0.66620000000000001"/>
    <m/>
    <n v="137.34479999999999"/>
    <n v="41.348700000000001"/>
    <m/>
  </r>
  <r>
    <s v="ASALI BABY ULTRA SOFT VIT.E W 120 BAG"/>
    <x v="84"/>
    <x v="116"/>
    <x v="0"/>
    <x v="1"/>
    <x v="3"/>
    <n v="1.9984999999999999"/>
    <n v="3.2300000000000002E-2"/>
    <m/>
    <n v="141.71469999999999"/>
    <n v="1.9971000000000001"/>
    <m/>
  </r>
  <r>
    <s v="COTTON SOFT CHAMOMILE ALC.FREE W 100 BAG"/>
    <x v="84"/>
    <x v="117"/>
    <x v="0"/>
    <x v="2"/>
    <x v="2"/>
    <n v="136.17420000000001"/>
    <n v="152.24180000000001"/>
    <n v="70.924899999999994"/>
    <n v="7155.8876"/>
    <n v="7606.2596000000003"/>
    <n v="3236.7058000000002"/>
  </r>
  <r>
    <s v="COTTON SOFT PH5.5 W 120 BAG KAPAK"/>
    <x v="84"/>
    <x v="117"/>
    <x v="0"/>
    <x v="1"/>
    <x v="3"/>
    <n v="166.38550000000001"/>
    <n v="154.19909999999999"/>
    <n v="78.409199999999998"/>
    <n v="8805.9477000000006"/>
    <n v="8032.0802000000003"/>
    <n v="3983.7687000000001"/>
  </r>
  <r>
    <s v="COTTON SOFT PH5.5 W 72 BAG KAPAK"/>
    <x v="84"/>
    <x v="117"/>
    <x v="0"/>
    <x v="1"/>
    <x v="8"/>
    <n v="7.4499999999999997E-2"/>
    <m/>
    <m/>
    <n v="5.2851999999999997"/>
    <m/>
    <m/>
  </r>
  <r>
    <s v="COTTON SOFT W 72 BAG"/>
    <x v="84"/>
    <x v="117"/>
    <x v="0"/>
    <x v="0"/>
    <x v="8"/>
    <n v="4.2912999999999997"/>
    <n v="3.2158000000000002"/>
    <n v="0.39529999999999998"/>
    <n v="253.55109999999999"/>
    <n v="179.24690000000001"/>
    <n v="19.092600000000001"/>
  </r>
  <r>
    <s v="ELVIM BABY JUMBO SENSITIVE W 120 BAG"/>
    <x v="84"/>
    <x v="118"/>
    <x v="0"/>
    <x v="3"/>
    <x v="3"/>
    <n v="12.5473"/>
    <n v="21.5989"/>
    <n v="10.3498"/>
    <n v="734.85479999999995"/>
    <n v="1234.4389000000001"/>
    <n v="587.04769999999996"/>
  </r>
  <r>
    <s v="ELVIM ULTRA SENSITIVE VIT E&amp;B5 W 70 BAG"/>
    <x v="84"/>
    <x v="118"/>
    <x v="0"/>
    <x v="3"/>
    <x v="18"/>
    <n v="0.68669999999999998"/>
    <m/>
    <m/>
    <n v="52.465899999999998"/>
    <m/>
    <m/>
  </r>
  <r>
    <s v="ELVIM BABY ULTRASENSITIVE LOTION&amp;VITE 72"/>
    <x v="84"/>
    <x v="118"/>
    <x v="0"/>
    <x v="3"/>
    <x v="8"/>
    <n v="37.213999999999999"/>
    <n v="7.2126999999999999"/>
    <m/>
    <n v="2501.2190000000001"/>
    <n v="451.55340000000001"/>
    <m/>
  </r>
  <r>
    <s v="ELVIM BABY ULTRASENSITIVE LOTION&amp;VITE 90"/>
    <x v="84"/>
    <x v="118"/>
    <x v="0"/>
    <x v="3"/>
    <x v="9"/>
    <n v="2.7111999999999998"/>
    <m/>
    <m/>
    <n v="136.8194"/>
    <m/>
    <m/>
  </r>
  <r>
    <s v="FLAMINGO BABY ULTRASENS.LOTION&amp;VITE 70 B"/>
    <x v="84"/>
    <x v="119"/>
    <x v="0"/>
    <x v="3"/>
    <x v="18"/>
    <m/>
    <n v="19.032699999999998"/>
    <n v="19.713699999999999"/>
    <m/>
    <n v="1111.0531000000001"/>
    <n v="1063.3096"/>
  </r>
  <r>
    <s v="INCI FRESH VITE&amp;PROVITB5 ALC.FREE W 100"/>
    <x v="84"/>
    <x v="120"/>
    <x v="0"/>
    <x v="2"/>
    <x v="2"/>
    <n v="1.0042"/>
    <m/>
    <m/>
    <n v="76.638000000000005"/>
    <m/>
    <m/>
  </r>
  <r>
    <s v="INCI FRESH VITE&amp;PROVITB5 PH5.5 W 120 BAG"/>
    <x v="84"/>
    <x v="120"/>
    <x v="0"/>
    <x v="1"/>
    <x v="3"/>
    <n v="251.465"/>
    <n v="145.75579999999999"/>
    <n v="77.822699999999998"/>
    <n v="15122.0514"/>
    <n v="8717.0684000000001"/>
    <n v="4462.7493999999997"/>
  </r>
  <r>
    <s v="INCI FRESH ULTRASOFT VITE&amp;PROVITB5 W 144"/>
    <x v="84"/>
    <x v="120"/>
    <x v="0"/>
    <x v="2"/>
    <x v="31"/>
    <n v="15.856"/>
    <n v="22.015000000000001"/>
    <n v="3.4060000000000001"/>
    <n v="1023.9475"/>
    <n v="1391.8684000000001"/>
    <n v="229.50649999999999"/>
  </r>
  <r>
    <s v="INCI FRESH VITE&amp;PROVITB5 PH5.5 W 60 BAG"/>
    <x v="84"/>
    <x v="120"/>
    <x v="0"/>
    <x v="1"/>
    <x v="11"/>
    <m/>
    <m/>
    <n v="0.28920000000000001"/>
    <m/>
    <m/>
    <n v="17.3521"/>
  </r>
  <r>
    <s v="INCI FRESH VITE&amp;PROVITB5 PH5.5 W 72 BAG"/>
    <x v="84"/>
    <x v="120"/>
    <x v="0"/>
    <x v="1"/>
    <x v="8"/>
    <n v="2.5535999999999999"/>
    <n v="3.8500999999999999"/>
    <n v="0.82650000000000001"/>
    <n v="126.3817"/>
    <n v="174.249"/>
    <n v="46.762"/>
  </r>
  <r>
    <s v="INCI FRESH VITE&amp;PROVITB5 PH5.5 W 90/18FR"/>
    <x v="84"/>
    <x v="120"/>
    <x v="0"/>
    <x v="1"/>
    <x v="8"/>
    <m/>
    <n v="0.25659999999999999"/>
    <m/>
    <m/>
    <n v="13.196899999999999"/>
    <m/>
  </r>
  <r>
    <s v="SEPTONA CALM NCARE CHAMOM BABY 12 W BAG"/>
    <x v="85"/>
    <x v="121"/>
    <x v="0"/>
    <x v="2"/>
    <x v="24"/>
    <m/>
    <n v="0.5504"/>
    <n v="0.74670000000000003"/>
    <m/>
    <n v="6.7556000000000003"/>
    <n v="9.0073000000000008"/>
  </r>
  <r>
    <s v="SEPTONA ALOE VERA BABY ALC.FREE 20 BAG"/>
    <x v="85"/>
    <x v="121"/>
    <x v="0"/>
    <x v="2"/>
    <x v="0"/>
    <n v="4.7511999999999999"/>
    <n v="3.7549000000000001"/>
    <n v="1.1405000000000001"/>
    <n v="70.328999999999994"/>
    <n v="55.465600000000002"/>
    <n v="16.475899999999999"/>
  </r>
  <r>
    <s v="SEPTONA CHAMOMILE BABY 20 W BAG"/>
    <x v="85"/>
    <x v="121"/>
    <x v="0"/>
    <x v="0"/>
    <x v="0"/>
    <n v="1.23E-2"/>
    <n v="2.7799999999999998E-2"/>
    <m/>
    <n v="0.18"/>
    <n v="0.46179999999999999"/>
    <m/>
  </r>
  <r>
    <s v="SEPTONA SENSITIVE ALMOND&amp;MILK W 20 BAG"/>
    <x v="85"/>
    <x v="121"/>
    <x v="0"/>
    <x v="3"/>
    <x v="0"/>
    <n v="11.1968"/>
    <n v="6.3734000000000002"/>
    <n v="1.3038000000000001"/>
    <n v="170.3914"/>
    <n v="94.576999999999998"/>
    <n v="19.252400000000002"/>
  </r>
  <r>
    <s v="SEPTONA SENSITIVE CALMN CARE W 54 BAG"/>
    <x v="85"/>
    <x v="121"/>
    <x v="0"/>
    <x v="3"/>
    <x v="25"/>
    <m/>
    <n v="0.89970000000000006"/>
    <n v="2.4813999999999998"/>
    <m/>
    <n v="21.057300000000001"/>
    <n v="55.505499999999998"/>
  </r>
  <r>
    <s v="SEPTONA CALM NCARE PANTENOL W 57 BAG"/>
    <x v="85"/>
    <x v="121"/>
    <x v="0"/>
    <x v="2"/>
    <x v="33"/>
    <n v="2.3999999999999998E-3"/>
    <m/>
    <m/>
    <n v="5.7000000000000002E-2"/>
    <m/>
    <m/>
  </r>
  <r>
    <s v="SEPTONA ALOE VERA BABY 64 BAG"/>
    <x v="85"/>
    <x v="121"/>
    <x v="0"/>
    <x v="0"/>
    <x v="7"/>
    <n v="0.22650000000000001"/>
    <m/>
    <m/>
    <n v="7.2465999999999999"/>
    <m/>
    <m/>
  </r>
  <r>
    <s v="SEPTONA CHAMOMILE BABY 3X64/1GR W BAG"/>
    <x v="85"/>
    <x v="121"/>
    <x v="0"/>
    <x v="1"/>
    <x v="7"/>
    <n v="0.74809999999999999"/>
    <m/>
    <m/>
    <n v="25.650500000000001"/>
    <m/>
    <m/>
  </r>
  <r>
    <s v="SEPTONA CHAMOMILE BABY 64 W BAG"/>
    <x v="85"/>
    <x v="121"/>
    <x v="0"/>
    <x v="1"/>
    <x v="7"/>
    <n v="7.1352000000000002"/>
    <n v="0.98229999999999995"/>
    <n v="0.17499999999999999"/>
    <n v="199.79089999999999"/>
    <n v="31.398199999999999"/>
    <n v="5.5553999999999997"/>
  </r>
  <r>
    <s v="SEPTONA CHAMOMILE BABY 64 W BAG KAPAK"/>
    <x v="85"/>
    <x v="121"/>
    <x v="0"/>
    <x v="1"/>
    <x v="7"/>
    <n v="38.636499999999998"/>
    <n v="25.403500000000001"/>
    <n v="9.4920000000000009"/>
    <n v="1064.7156"/>
    <n v="712.85350000000005"/>
    <n v="244.268"/>
  </r>
  <r>
    <s v="SEPTONA SENSITIVE ALMOND&amp;MILK W 64 BAG"/>
    <x v="85"/>
    <x v="121"/>
    <x v="0"/>
    <x v="3"/>
    <x v="7"/>
    <n v="3.0739999999999998"/>
    <n v="0.314"/>
    <n v="6.4199999999999993E-2"/>
    <n v="79.571700000000007"/>
    <n v="7.3994999999999997"/>
    <n v="1.5809"/>
  </r>
  <r>
    <s v="SEPTONA SENSITIVE CALMN CARE W 64 BAG"/>
    <x v="85"/>
    <x v="121"/>
    <x v="0"/>
    <x v="3"/>
    <x v="7"/>
    <n v="57.373899999999999"/>
    <n v="28.978999999999999"/>
    <n v="4.5244999999999997"/>
    <n v="1605.2121"/>
    <n v="798.29169999999999"/>
    <n v="128.11799999999999"/>
  </r>
  <r>
    <s v="SEPTONA MILD FRAGANCE ALC.FREE W 72 BAG"/>
    <x v="85"/>
    <x v="121"/>
    <x v="0"/>
    <x v="2"/>
    <x v="8"/>
    <n v="0.84319999999999995"/>
    <m/>
    <m/>
    <n v="38.896500000000003"/>
    <m/>
    <m/>
  </r>
  <r>
    <s v="SEPTONA CALM NCARE PANTENOL W 75 BAG"/>
    <x v="85"/>
    <x v="121"/>
    <x v="0"/>
    <x v="2"/>
    <x v="34"/>
    <n v="0.32700000000000001"/>
    <n v="7.9399999999999998E-2"/>
    <m/>
    <n v="8.1380999999999997"/>
    <n v="2.0009000000000001"/>
    <m/>
  </r>
  <r>
    <s v="SEPTONA CALMN CARE ALOE VERA W 80 BAG"/>
    <x v="85"/>
    <x v="121"/>
    <x v="0"/>
    <x v="2"/>
    <x v="1"/>
    <n v="30.607399999999998"/>
    <n v="87.617999999999995"/>
    <n v="25.586099999999998"/>
    <n v="1468.2443000000001"/>
    <n v="4062.0709999999999"/>
    <n v="1119.9051999999999"/>
  </r>
  <r>
    <s v="IASSMIN BABY CREAM PH5.5 W 72 BAG"/>
    <x v="86"/>
    <x v="122"/>
    <x v="0"/>
    <x v="1"/>
    <x v="8"/>
    <n v="0.26200000000000001"/>
    <n v="0.1656"/>
    <m/>
    <n v="18.860299999999999"/>
    <n v="11.920500000000001"/>
    <m/>
  </r>
  <r>
    <s v="JUNIOR&amp;TOMMY SENSITIVE W 120 BAG KAPAK"/>
    <x v="86"/>
    <x v="123"/>
    <x v="0"/>
    <x v="3"/>
    <x v="3"/>
    <n v="8.2482000000000006"/>
    <n v="0.97330000000000005"/>
    <m/>
    <n v="505.78250000000003"/>
    <n v="58.400799999999997"/>
    <m/>
  </r>
  <r>
    <s v="NIKI BABY ALC.FREE W 130/10FR BAG KAPAK"/>
    <x v="86"/>
    <x v="124"/>
    <x v="0"/>
    <x v="2"/>
    <x v="3"/>
    <n v="5.7763"/>
    <n v="9.2917000000000005"/>
    <n v="0.95250000000000001"/>
    <n v="311.05720000000002"/>
    <n v="539.97619999999995"/>
    <n v="61.781700000000001"/>
  </r>
  <r>
    <s v="PEPINO BABY P H5.5 W 120/20FREE BAG"/>
    <x v="86"/>
    <x v="125"/>
    <x v="0"/>
    <x v="1"/>
    <x v="2"/>
    <n v="55.7286"/>
    <n v="53.311300000000003"/>
    <n v="19.850100000000001"/>
    <n v="3644.6801999999998"/>
    <n v="3675.9913999999999"/>
    <n v="1253.7541000000001"/>
  </r>
  <r>
    <s v="PEPINO BABY P H5.5 W 130/10FREE BAG"/>
    <x v="86"/>
    <x v="125"/>
    <x v="0"/>
    <x v="2"/>
    <x v="3"/>
    <m/>
    <n v="4.4955999999999996"/>
    <m/>
    <m/>
    <n v="365.2654"/>
    <m/>
  </r>
  <r>
    <s v="PEPINO BABY SOFT&amp;LUX P H5.5 W 70 BAG"/>
    <x v="86"/>
    <x v="125"/>
    <x v="0"/>
    <x v="1"/>
    <x v="18"/>
    <n v="5.5199999999999999E-2"/>
    <m/>
    <m/>
    <n v="3.36"/>
    <m/>
    <m/>
  </r>
  <r>
    <s v="RENKLI MAGIC P H5.5 W 120 BAG KAPAK"/>
    <x v="86"/>
    <x v="126"/>
    <x v="0"/>
    <x v="1"/>
    <x v="3"/>
    <n v="5.3959999999999999"/>
    <n v="7.0095999999999998"/>
    <n v="3.0608"/>
    <n v="290.08819999999997"/>
    <n v="393.84969999999998"/>
    <n v="158.0343"/>
  </r>
  <r>
    <s v="RENKLI PREMIUM BABY ALC.FREE W 130 BAG"/>
    <x v="86"/>
    <x v="126"/>
    <x v="0"/>
    <x v="2"/>
    <x v="35"/>
    <n v="39.775100000000002"/>
    <n v="29.160399999999999"/>
    <n v="6.0876999999999999"/>
    <n v="2342.4566"/>
    <n v="1534.7882999999999"/>
    <n v="287.5865"/>
  </r>
  <r>
    <s v="RENKLI BABY KIDS P H5.5 W 72 BAG"/>
    <x v="86"/>
    <x v="126"/>
    <x v="0"/>
    <x v="1"/>
    <x v="8"/>
    <n v="73.361099999999993"/>
    <n v="57.603700000000003"/>
    <n v="12.2355"/>
    <n v="4307.2969000000003"/>
    <n v="3235.6705999999999"/>
    <n v="650.06870000000004"/>
  </r>
  <r>
    <s v="RENKLI BABY KIDS P H5.5 W 72 BAG KAPAK"/>
    <x v="86"/>
    <x v="126"/>
    <x v="0"/>
    <x v="1"/>
    <x v="8"/>
    <n v="7.6637000000000004"/>
    <n v="5.7187999999999999"/>
    <n v="3.4293999999999998"/>
    <n v="412.75630000000001"/>
    <n v="314.68810000000002"/>
    <n v="185.42320000000001"/>
  </r>
  <r>
    <s v="RENKLI ZOO ANTIBACTERIAL W 72 BAG KAPAK"/>
    <x v="86"/>
    <x v="126"/>
    <x v="0"/>
    <x v="1"/>
    <x v="8"/>
    <n v="97.800700000000006"/>
    <n v="61.680799999999998"/>
    <n v="23.825800000000001"/>
    <n v="4426.3535000000002"/>
    <n v="2861.6763999999998"/>
    <n v="975.65369999999996"/>
  </r>
  <r>
    <s v="RENKLI BABY LUX PH5.5 W 2X80 BAG"/>
    <x v="86"/>
    <x v="126"/>
    <x v="0"/>
    <x v="1"/>
    <x v="1"/>
    <n v="137.74010000000001"/>
    <n v="71.2029"/>
    <n v="36.735799999999998"/>
    <n v="9592.0316999999995"/>
    <n v="4713.7775000000001"/>
    <n v="2155.8667"/>
  </r>
  <r>
    <s v="RENKLI BABY LUX W 80 BAG KAPACHE"/>
    <x v="86"/>
    <x v="126"/>
    <x v="0"/>
    <x v="2"/>
    <x v="1"/>
    <n v="34.508099999999999"/>
    <n v="21.348800000000001"/>
    <n v="13.753299999999999"/>
    <n v="2073.3334"/>
    <n v="1342.2397000000001"/>
    <n v="736.28099999999995"/>
  </r>
  <r>
    <s v="SWEET BABY ALOEVERA PH5.5 W 72 BAG KAPAK"/>
    <x v="86"/>
    <x v="127"/>
    <x v="0"/>
    <x v="1"/>
    <x v="8"/>
    <m/>
    <n v="3.1300000000000001E-2"/>
    <m/>
    <m/>
    <n v="1.2579"/>
    <m/>
  </r>
  <r>
    <s v="FARMACOTONE BEBE CALENDULA SENS. 60 BAG"/>
    <x v="87"/>
    <x v="128"/>
    <x v="0"/>
    <x v="3"/>
    <x v="11"/>
    <n v="7.7399999999999997E-2"/>
    <n v="0.20100000000000001"/>
    <n v="1.1599999999999999E-2"/>
    <n v="1.2943"/>
    <n v="3.8485999999999998"/>
    <n v="0.1971"/>
  </r>
  <r>
    <s v="FARMACOTONE BIO ALOE&amp;ALMOND PH5.5 72 BAG"/>
    <x v="87"/>
    <x v="128"/>
    <x v="0"/>
    <x v="1"/>
    <x v="8"/>
    <n v="6.8400000000000002E-2"/>
    <n v="9.8500000000000004E-2"/>
    <n v="3.8800000000000001E-2"/>
    <n v="1.5943000000000001"/>
    <n v="2.7256999999999998"/>
    <n v="0.93600000000000005"/>
  </r>
  <r>
    <s v="VOI MULTI VITAMINS PH5.5 W 100 BAG SINI"/>
    <x v="88"/>
    <x v="129"/>
    <x v="0"/>
    <x v="1"/>
    <x v="2"/>
    <n v="1.2095"/>
    <m/>
    <m/>
    <n v="58.601599999999998"/>
    <m/>
    <m/>
  </r>
  <r>
    <s v="VOI CREAM LOTION PH5.5 W 120 BAG KAPAK"/>
    <x v="88"/>
    <x v="129"/>
    <x v="0"/>
    <x v="1"/>
    <x v="3"/>
    <n v="3.4049"/>
    <m/>
    <m/>
    <n v="181.5942"/>
    <m/>
    <m/>
  </r>
  <r>
    <s v="VOI CHAMOMILE PH5.5 W 72 BAG KAPAK"/>
    <x v="88"/>
    <x v="129"/>
    <x v="0"/>
    <x v="1"/>
    <x v="8"/>
    <n v="0.27539999999999998"/>
    <m/>
    <m/>
    <n v="11.6632"/>
    <m/>
    <m/>
  </r>
  <r>
    <s v="VOI CREAM LOTION PH5.5 W 72 BAG KAPAK"/>
    <x v="88"/>
    <x v="129"/>
    <x v="0"/>
    <x v="1"/>
    <x v="8"/>
    <n v="0.36249999999999999"/>
    <m/>
    <m/>
    <n v="17.400500000000001"/>
    <m/>
    <m/>
  </r>
  <r>
    <s v="TOVA  FreshClean PH5.5 W 120 BAG"/>
    <x v="89"/>
    <x v="130"/>
    <x v="0"/>
    <x v="1"/>
    <x v="3"/>
    <m/>
    <m/>
    <n v="3.1633"/>
    <m/>
    <m/>
    <n v="171.71680000000001"/>
  </r>
  <r>
    <s v="ALVESTA BABY PH5.5 W 120 BAG KAPAK"/>
    <x v="90"/>
    <x v="131"/>
    <x v="0"/>
    <x v="1"/>
    <x v="3"/>
    <m/>
    <n v="10.313499999999999"/>
    <n v="10.635400000000001"/>
    <m/>
    <n v="475.9119"/>
    <n v="461.80500000000001"/>
  </r>
  <r>
    <s v="ALVESTA BABY PH5.5 W 72 BAG KAPAK"/>
    <x v="90"/>
    <x v="131"/>
    <x v="0"/>
    <x v="1"/>
    <x v="8"/>
    <n v="54.988799999999998"/>
    <n v="32.909799999999997"/>
    <n v="13.822900000000001"/>
    <n v="1994.8981000000001"/>
    <n v="1164.6792"/>
    <n v="463.84859999999998"/>
  </r>
  <r>
    <s v="MIS MAK CLEANSE&amp;REFRESH PH5.5 W 72 BAG"/>
    <x v="90"/>
    <x v="132"/>
    <x v="0"/>
    <x v="1"/>
    <x v="8"/>
    <n v="0.1076"/>
    <n v="0.1249"/>
    <n v="7.1900000000000006E-2"/>
    <n v="5.5374999999999996"/>
    <n v="6.4203000000000001"/>
    <n v="3.698"/>
  </r>
  <r>
    <s v="BIVY BABY NEWBORN W 60 BAG KAPAK"/>
    <x v="91"/>
    <x v="133"/>
    <x v="0"/>
    <x v="2"/>
    <x v="11"/>
    <n v="0.30349999999999999"/>
    <n v="7.7100000000000002E-2"/>
    <m/>
    <n v="10.7111"/>
    <n v="2.9864999999999999"/>
    <m/>
  </r>
  <r>
    <s v="BIVY SOFT&amp;FRESH PROVITB5&amp;VITE W 72 BAG"/>
    <x v="91"/>
    <x v="133"/>
    <x v="0"/>
    <x v="2"/>
    <x v="8"/>
    <n v="34.620800000000003"/>
    <n v="13.6218"/>
    <n v="2.1793999999999998"/>
    <n v="2351.0409"/>
    <n v="917.37919999999997"/>
    <n v="151.65029999999999"/>
  </r>
  <r>
    <s v="DAISY BABY WET WIPES W 120 BAG"/>
    <x v="92"/>
    <x v="134"/>
    <x v="0"/>
    <x v="0"/>
    <x v="3"/>
    <m/>
    <m/>
    <n v="1.9407000000000001"/>
    <m/>
    <m/>
    <n v="110.1146"/>
  </r>
  <r>
    <s v="BEBECAN PH5.5 W 72 BAG TNCR GIDA KAPAK"/>
    <x v="93"/>
    <x v="135"/>
    <x v="0"/>
    <x v="1"/>
    <x v="8"/>
    <n v="2.0785999999999998"/>
    <n v="7.1199999999999999E-2"/>
    <m/>
    <n v="104.04649999999999"/>
    <n v="3.8216000000000001"/>
    <m/>
  </r>
  <r>
    <s v="HUGO BABY ALC.FREE W 120 BAG"/>
    <x v="94"/>
    <x v="136"/>
    <x v="0"/>
    <x v="2"/>
    <x v="3"/>
    <m/>
    <m/>
    <n v="0.1532"/>
    <m/>
    <m/>
    <n v="9.1946999999999992"/>
  </r>
  <r>
    <s v="PROSOFT VITE&amp;PROVITB5 W 72 BAG CHERVENI"/>
    <x v="94"/>
    <x v="137"/>
    <x v="0"/>
    <x v="2"/>
    <x v="8"/>
    <m/>
    <n v="2.8000000000000001E-2"/>
    <n v="14.061199999999999"/>
    <m/>
    <n v="1.8513999999999999"/>
    <n v="850.57989999999995"/>
  </r>
  <r>
    <s v="PROSOFT VITE&amp;PROVITB5 W 72 BAG ZELENI"/>
    <x v="94"/>
    <x v="137"/>
    <x v="0"/>
    <x v="2"/>
    <x v="8"/>
    <m/>
    <n v="3.1899999999999998E-2"/>
    <n v="8.1054999999999993"/>
    <m/>
    <n v="2.1086"/>
    <n v="502.96"/>
  </r>
  <r>
    <s v="UNAC BABY LOTION&amp;VIT.E AL.FREE W 120 BAG"/>
    <x v="95"/>
    <x v="138"/>
    <x v="0"/>
    <x v="2"/>
    <x v="3"/>
    <n v="25.839099999999998"/>
    <n v="9.0121000000000002"/>
    <n v="10.0204"/>
    <n v="1539.4739"/>
    <n v="509.45670000000001"/>
    <n v="585.52229999999997"/>
  </r>
  <r>
    <s v="DOVE BABY RICHMOISTURE ALC.FREE W 50 BAG"/>
    <x v="96"/>
    <x v="139"/>
    <x v="0"/>
    <x v="5"/>
    <x v="10"/>
    <n v="9.0969999999999995"/>
    <n v="13.0891"/>
    <n v="4.6460999999999997"/>
    <n v="134.3818"/>
    <n v="186.4109"/>
    <n v="56.316099999999999"/>
  </r>
  <r>
    <s v="DOVE BABY SENSITIVE MOISTURE W 50 BAG"/>
    <x v="96"/>
    <x v="139"/>
    <x v="0"/>
    <x v="3"/>
    <x v="10"/>
    <n v="10.3986"/>
    <n v="26.6724"/>
    <n v="21.6234"/>
    <n v="151.6679"/>
    <n v="465.6979"/>
    <n v="443.52179999999998"/>
  </r>
  <r>
    <s v="BEBECAN BABY PH5.5 W 72 BAG YESIL"/>
    <x v="97"/>
    <x v="135"/>
    <x v="0"/>
    <x v="1"/>
    <x v="8"/>
    <n v="1.8396999999999999"/>
    <n v="4.3616000000000001"/>
    <m/>
    <n v="115.49760000000001"/>
    <n v="300.465899999999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02F3ED-DDF8-1F44-9DB6-367A46AADA8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2" firstHeaderRow="0" firstDataRow="1" firstDataCol="1"/>
  <pivotFields count="12">
    <pivotField showAll="0"/>
    <pivotField axis="axisRow" showAll="0">
      <items count="99">
        <item x="15"/>
        <item x="5"/>
        <item x="7"/>
        <item x="6"/>
        <item x="9"/>
        <item x="12"/>
        <item x="33"/>
        <item x="13"/>
        <item x="1"/>
        <item x="16"/>
        <item x="90"/>
        <item x="4"/>
        <item x="45"/>
        <item x="44"/>
        <item x="40"/>
        <item x="20"/>
        <item x="35"/>
        <item x="18"/>
        <item x="19"/>
        <item x="77"/>
        <item x="49"/>
        <item x="21"/>
        <item x="22"/>
        <item x="10"/>
        <item x="65"/>
        <item x="11"/>
        <item x="67"/>
        <item x="23"/>
        <item x="24"/>
        <item x="25"/>
        <item x="27"/>
        <item x="80"/>
        <item x="28"/>
        <item x="70"/>
        <item x="29"/>
        <item x="93"/>
        <item x="8"/>
        <item x="30"/>
        <item x="56"/>
        <item x="54"/>
        <item x="31"/>
        <item x="97"/>
        <item x="88"/>
        <item x="68"/>
        <item x="39"/>
        <item x="3"/>
        <item x="41"/>
        <item x="43"/>
        <item x="47"/>
        <item x="50"/>
        <item x="51"/>
        <item x="52"/>
        <item x="53"/>
        <item x="36"/>
        <item x="86"/>
        <item x="57"/>
        <item x="58"/>
        <item x="59"/>
        <item x="37"/>
        <item x="60"/>
        <item x="0"/>
        <item x="62"/>
        <item x="63"/>
        <item x="48"/>
        <item x="64"/>
        <item x="66"/>
        <item x="69"/>
        <item x="72"/>
        <item x="55"/>
        <item x="74"/>
        <item x="73"/>
        <item x="75"/>
        <item x="14"/>
        <item x="71"/>
        <item x="87"/>
        <item x="89"/>
        <item x="76"/>
        <item x="34"/>
        <item x="78"/>
        <item x="79"/>
        <item x="26"/>
        <item x="82"/>
        <item x="84"/>
        <item x="85"/>
        <item x="81"/>
        <item x="83"/>
        <item x="46"/>
        <item x="32"/>
        <item x="38"/>
        <item x="91"/>
        <item x="92"/>
        <item x="42"/>
        <item x="17"/>
        <item x="94"/>
        <item x="95"/>
        <item x="96"/>
        <item x="2"/>
        <item x="61"/>
        <item t="default"/>
      </items>
    </pivotField>
    <pivotField showAll="0">
      <items count="141">
        <item x="131"/>
        <item x="23"/>
        <item x="116"/>
        <item x="24"/>
        <item x="77"/>
        <item x="2"/>
        <item x="78"/>
        <item x="21"/>
        <item x="0"/>
        <item x="18"/>
        <item x="1"/>
        <item x="135"/>
        <item x="94"/>
        <item x="106"/>
        <item x="39"/>
        <item x="97"/>
        <item x="80"/>
        <item x="104"/>
        <item x="57"/>
        <item x="133"/>
        <item x="92"/>
        <item x="12"/>
        <item x="52"/>
        <item x="19"/>
        <item x="74"/>
        <item x="22"/>
        <item x="25"/>
        <item x="117"/>
        <item x="134"/>
        <item x="110"/>
        <item x="139"/>
        <item x="34"/>
        <item x="118"/>
        <item x="14"/>
        <item x="37"/>
        <item x="128"/>
        <item x="38"/>
        <item x="119"/>
        <item x="85"/>
        <item x="41"/>
        <item x="40"/>
        <item x="64"/>
        <item x="113"/>
        <item x="86"/>
        <item x="42"/>
        <item x="81"/>
        <item x="9"/>
        <item x="55"/>
        <item x="56"/>
        <item x="109"/>
        <item x="66"/>
        <item x="5"/>
        <item x="136"/>
        <item x="122"/>
        <item x="120"/>
        <item x="61"/>
        <item x="123"/>
        <item x="11"/>
        <item x="43"/>
        <item x="98"/>
        <item x="67"/>
        <item x="93"/>
        <item x="63"/>
        <item x="79"/>
        <item x="70"/>
        <item x="71"/>
        <item x="36"/>
        <item x="3"/>
        <item x="44"/>
        <item x="4"/>
        <item x="62"/>
        <item x="115"/>
        <item x="111"/>
        <item x="100"/>
        <item x="48"/>
        <item x="26"/>
        <item x="75"/>
        <item x="132"/>
        <item x="54"/>
        <item x="82"/>
        <item x="69"/>
        <item x="27"/>
        <item x="87"/>
        <item x="47"/>
        <item x="84"/>
        <item x="45"/>
        <item x="28"/>
        <item x="124"/>
        <item x="16"/>
        <item x="20"/>
        <item x="30"/>
        <item x="101"/>
        <item x="95"/>
        <item x="6"/>
        <item x="59"/>
        <item x="125"/>
        <item x="60"/>
        <item x="96"/>
        <item x="53"/>
        <item x="7"/>
        <item x="50"/>
        <item x="51"/>
        <item x="46"/>
        <item x="102"/>
        <item x="49"/>
        <item x="137"/>
        <item x="88"/>
        <item x="72"/>
        <item x="90"/>
        <item x="31"/>
        <item x="126"/>
        <item x="65"/>
        <item x="114"/>
        <item x="107"/>
        <item x="76"/>
        <item x="121"/>
        <item x="35"/>
        <item x="32"/>
        <item x="99"/>
        <item x="17"/>
        <item x="108"/>
        <item x="91"/>
        <item x="112"/>
        <item x="127"/>
        <item x="68"/>
        <item x="15"/>
        <item x="89"/>
        <item x="73"/>
        <item x="130"/>
        <item x="8"/>
        <item x="10"/>
        <item x="138"/>
        <item x="13"/>
        <item x="103"/>
        <item x="105"/>
        <item x="129"/>
        <item x="58"/>
        <item x="29"/>
        <item x="83"/>
        <item x="33"/>
        <item t="default"/>
      </items>
    </pivotField>
    <pivotField showAll="0">
      <items count="3">
        <item x="0"/>
        <item x="1"/>
        <item t="default"/>
      </items>
    </pivotField>
    <pivotField showAll="0">
      <items count="7">
        <item x="2"/>
        <item x="5"/>
        <item x="4"/>
        <item x="1"/>
        <item x="3"/>
        <item x="0"/>
        <item t="default"/>
      </items>
    </pivotField>
    <pivotField showAll="0">
      <items count="37">
        <item x="19"/>
        <item x="2"/>
        <item x="32"/>
        <item x="17"/>
        <item x="24"/>
        <item x="3"/>
        <item x="35"/>
        <item x="12"/>
        <item x="31"/>
        <item x="4"/>
        <item x="0"/>
        <item x="27"/>
        <item x="21"/>
        <item x="13"/>
        <item x="22"/>
        <item x="14"/>
        <item x="28"/>
        <item x="5"/>
        <item x="30"/>
        <item x="29"/>
        <item x="10"/>
        <item x="20"/>
        <item x="25"/>
        <item x="6"/>
        <item x="33"/>
        <item x="11"/>
        <item x="15"/>
        <item x="7"/>
        <item x="16"/>
        <item x="18"/>
        <item x="8"/>
        <item x="34"/>
        <item x="1"/>
        <item x="26"/>
        <item x="9"/>
        <item x="23"/>
        <item t="default"/>
      </items>
    </pivotField>
    <pivotField dataField="1" showAll="0"/>
    <pivotField dataField="1" showAll="0"/>
    <pivotField dataField="1" showAll="0"/>
    <pivotField dataField="1" showAll="0"/>
    <pivotField dataField="1" showAll="0"/>
    <pivotField dataField="1" showAll="0"/>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Fields count="1">
    <field x="-2"/>
  </colFields>
  <colItems count="6">
    <i>
      <x/>
    </i>
    <i i="1">
      <x v="1"/>
    </i>
    <i i="2">
      <x v="2"/>
    </i>
    <i i="3">
      <x v="3"/>
    </i>
    <i i="4">
      <x v="4"/>
    </i>
    <i i="5">
      <x v="5"/>
    </i>
  </colItems>
  <dataFields count="6">
    <dataField name="Sum of 2022 Value" fld="6" baseField="0" baseItem="0"/>
    <dataField name="Sum of 2023 Value" fld="7" baseField="0" baseItem="0"/>
    <dataField name="Sum of YTD 24 Value" fld="8" baseField="0" baseItem="0"/>
    <dataField name="Sum of 2022 Volume" fld="9" baseField="0" baseItem="0"/>
    <dataField name="Sum of 2023 Volume" fld="10" baseField="0" baseItem="0"/>
    <dataField name="Sum of YTD 24 Volume" fld="11" baseField="0" baseItem="0"/>
  </dataFields>
  <formats count="5">
    <format dxfId="54">
      <pivotArea type="all" dataOnly="0" outline="0" fieldPosition="0"/>
    </format>
    <format dxfId="53">
      <pivotArea type="all" dataOnly="0" outline="0" fieldPosition="0"/>
    </format>
    <format dxfId="52">
      <pivotArea type="all" dataOnly="0" outline="0" fieldPosition="0"/>
    </format>
    <format dxfId="51">
      <pivotArea type="all" dataOnly="0" outline="0" fieldPosition="0"/>
    </format>
    <format dxfId="5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8C8FC72-CE7B-6847-9490-99D4BD908694}" sourceName="Brand">
  <pivotTables>
    <pivotTable tabId="3" name="PivotTable1"/>
  </pivotTables>
  <data>
    <tabular pivotCacheId="253505619">
      <items count="140">
        <i x="131" s="1"/>
        <i x="23" s="1"/>
        <i x="116" s="1"/>
        <i x="24" s="1"/>
        <i x="77" s="1"/>
        <i x="2" s="1"/>
        <i x="78" s="1"/>
        <i x="21" s="1"/>
        <i x="0" s="1"/>
        <i x="18" s="1"/>
        <i x="1" s="1"/>
        <i x="135" s="1"/>
        <i x="94" s="1"/>
        <i x="106" s="1"/>
        <i x="39" s="1"/>
        <i x="97" s="1"/>
        <i x="80" s="1"/>
        <i x="104" s="1"/>
        <i x="57" s="1"/>
        <i x="133" s="1"/>
        <i x="92" s="1"/>
        <i x="12" s="1"/>
        <i x="52" s="1"/>
        <i x="19" s="1"/>
        <i x="74" s="1"/>
        <i x="22" s="1"/>
        <i x="25" s="1"/>
        <i x="117" s="1"/>
        <i x="134" s="1"/>
        <i x="110" s="1"/>
        <i x="139" s="1"/>
        <i x="34" s="1"/>
        <i x="118" s="1"/>
        <i x="14" s="1"/>
        <i x="37" s="1"/>
        <i x="128" s="1"/>
        <i x="38" s="1"/>
        <i x="119" s="1"/>
        <i x="85" s="1"/>
        <i x="41" s="1"/>
        <i x="40" s="1"/>
        <i x="64" s="1"/>
        <i x="113" s="1"/>
        <i x="86" s="1"/>
        <i x="42" s="1"/>
        <i x="81" s="1"/>
        <i x="9" s="1"/>
        <i x="55" s="1"/>
        <i x="56" s="1"/>
        <i x="109" s="1"/>
        <i x="66" s="1"/>
        <i x="5" s="1"/>
        <i x="136" s="1"/>
        <i x="122" s="1"/>
        <i x="120" s="1"/>
        <i x="61" s="1"/>
        <i x="123" s="1"/>
        <i x="11" s="1"/>
        <i x="43" s="1"/>
        <i x="98" s="1"/>
        <i x="67" s="1"/>
        <i x="93" s="1"/>
        <i x="63" s="1"/>
        <i x="79" s="1"/>
        <i x="70" s="1"/>
        <i x="71" s="1"/>
        <i x="36" s="1"/>
        <i x="3" s="1"/>
        <i x="44" s="1"/>
        <i x="4" s="1"/>
        <i x="62" s="1"/>
        <i x="115" s="1"/>
        <i x="111" s="1"/>
        <i x="100" s="1"/>
        <i x="48" s="1"/>
        <i x="26" s="1"/>
        <i x="75" s="1"/>
        <i x="132" s="1"/>
        <i x="54" s="1"/>
        <i x="82" s="1"/>
        <i x="69" s="1"/>
        <i x="27" s="1"/>
        <i x="87" s="1"/>
        <i x="47" s="1"/>
        <i x="84" s="1"/>
        <i x="45" s="1"/>
        <i x="28" s="1"/>
        <i x="124" s="1"/>
        <i x="16" s="1"/>
        <i x="20" s="1"/>
        <i x="30" s="1"/>
        <i x="101" s="1"/>
        <i x="95" s="1"/>
        <i x="6" s="1"/>
        <i x="59" s="1"/>
        <i x="125" s="1"/>
        <i x="60" s="1"/>
        <i x="96" s="1"/>
        <i x="53" s="1"/>
        <i x="7" s="1"/>
        <i x="50" s="1"/>
        <i x="51" s="1"/>
        <i x="46" s="1"/>
        <i x="102" s="1"/>
        <i x="49" s="1"/>
        <i x="137" s="1"/>
        <i x="88" s="1"/>
        <i x="72" s="1"/>
        <i x="90" s="1"/>
        <i x="31" s="1"/>
        <i x="126" s="1"/>
        <i x="65" s="1"/>
        <i x="114" s="1"/>
        <i x="107" s="1"/>
        <i x="76" s="1"/>
        <i x="121" s="1"/>
        <i x="35" s="1"/>
        <i x="32" s="1"/>
        <i x="99" s="1"/>
        <i x="17" s="1"/>
        <i x="108" s="1"/>
        <i x="91" s="1"/>
        <i x="112" s="1"/>
        <i x="127" s="1"/>
        <i x="68" s="1"/>
        <i x="15" s="1"/>
        <i x="89" s="1"/>
        <i x="73" s="1"/>
        <i x="130" s="1"/>
        <i x="8" s="1"/>
        <i x="10" s="1"/>
        <i x="138" s="1"/>
        <i x="13" s="1"/>
        <i x="103" s="1"/>
        <i x="105" s="1"/>
        <i x="129" s="1"/>
        <i x="58" s="1"/>
        <i x="29" s="1"/>
        <i x="83"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 xr10:uid="{420651F1-AAB2-6347-A6E4-755F5D1ECDB1}" sourceName="Package">
  <pivotTables>
    <pivotTable tabId="3" name="PivotTable1"/>
  </pivotTables>
  <data>
    <tabular pivotCacheId="2535056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ttributes" xr10:uid="{D8CA0C3B-4C0A-FD42-A764-3CD07E7E5564}" sourceName="Product Attributes">
  <pivotTables>
    <pivotTable tabId="3" name="PivotTable1"/>
  </pivotTables>
  <data>
    <tabular pivotCacheId="253505619">
      <items count="6">
        <i x="2" s="1"/>
        <i x="5"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435B4FA-0A7A-3C4B-8BAF-9E9268E37314}" sourceName="Size">
  <pivotTables>
    <pivotTable tabId="3" name="PivotTable1"/>
  </pivotTables>
  <data>
    <tabular pivotCacheId="253505619">
      <items count="36">
        <i x="19" s="1"/>
        <i x="2" s="1"/>
        <i x="32" s="1"/>
        <i x="17" s="1"/>
        <i x="24" s="1"/>
        <i x="3" s="1"/>
        <i x="35" s="1"/>
        <i x="12" s="1"/>
        <i x="31" s="1"/>
        <i x="4" s="1"/>
        <i x="0" s="1"/>
        <i x="27" s="1"/>
        <i x="21" s="1"/>
        <i x="13" s="1"/>
        <i x="22" s="1"/>
        <i x="14" s="1"/>
        <i x="28" s="1"/>
        <i x="5" s="1"/>
        <i x="30" s="1"/>
        <i x="29" s="1"/>
        <i x="10" s="1"/>
        <i x="20" s="1"/>
        <i x="25" s="1"/>
        <i x="6" s="1"/>
        <i x="33" s="1"/>
        <i x="11" s="1"/>
        <i x="15" s="1"/>
        <i x="7" s="1"/>
        <i x="16" s="1"/>
        <i x="18" s="1"/>
        <i x="8" s="1"/>
        <i x="34" s="1"/>
        <i x="1" s="1"/>
        <i x="26" s="1"/>
        <i x="9"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57B062D-C234-7A44-A3BA-A38606A46D50}" cache="Slicer_Brand" caption="Brand" startItem="8" style="SlicerStyleDark1" rowHeight="230716"/>
  <slicer name="Package" xr10:uid="{72943F8B-9DAE-B14E-ABC3-72953D857752}" cache="Slicer_Package" caption="Package" style="SlicerStyleDark1" rowHeight="230716"/>
  <slicer name="Product Attributes" xr10:uid="{09C37616-8721-C143-8561-2BEFA88FE039}" cache="Slicer_Product_Attributes" caption="Product Attributes" style="SlicerStyleDark1" rowHeight="230716"/>
  <slicer name="Size" xr10:uid="{FAD75D20-93D2-6F4C-B6B5-58864BD746CE}" cache="Slicer_Size" caption="Size" style="SlicerStyleDark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74C2-8794-4088-8B17-C411BAB05EE5}">
  <dimension ref="A1:K820"/>
  <sheetViews>
    <sheetView zoomScale="150" workbookViewId="0">
      <selection activeCell="G4" sqref="G4"/>
    </sheetView>
  </sheetViews>
  <sheetFormatPr baseColWidth="10" defaultColWidth="8.83203125" defaultRowHeight="15" x14ac:dyDescent="0.2"/>
  <cols>
    <col min="1" max="1" width="51.5" bestFit="1" customWidth="1"/>
    <col min="2" max="5" width="21.6640625" customWidth="1"/>
    <col min="6" max="11" width="12.6640625" customWidth="1"/>
  </cols>
  <sheetData>
    <row r="1" spans="1:11" s="1" customFormat="1" ht="20" customHeight="1" thickBot="1" x14ac:dyDescent="0.25">
      <c r="A1" s="26"/>
      <c r="B1" s="27"/>
      <c r="C1" s="27"/>
      <c r="D1" s="27"/>
      <c r="E1" s="27"/>
      <c r="F1" s="30" t="s">
        <v>0</v>
      </c>
      <c r="G1" s="31"/>
      <c r="H1" s="32"/>
      <c r="I1" s="33" t="s">
        <v>1</v>
      </c>
      <c r="J1" s="34"/>
      <c r="K1" s="35"/>
    </row>
    <row r="2" spans="1:11" s="1" customFormat="1" ht="33" customHeight="1" thickBot="1" x14ac:dyDescent="0.25">
      <c r="A2" s="28"/>
      <c r="B2" s="29"/>
      <c r="C2" s="29"/>
      <c r="D2" s="29"/>
      <c r="E2" s="29"/>
      <c r="F2" s="2">
        <v>2022</v>
      </c>
      <c r="G2" s="3">
        <v>2023</v>
      </c>
      <c r="H2" s="3" t="s">
        <v>710</v>
      </c>
      <c r="I2" s="3">
        <v>2022</v>
      </c>
      <c r="J2" s="3">
        <v>2023</v>
      </c>
      <c r="K2" s="3" t="s">
        <v>710</v>
      </c>
    </row>
    <row r="3" spans="1:11" ht="15" customHeight="1" x14ac:dyDescent="0.2">
      <c r="A3" s="4" t="s">
        <v>711</v>
      </c>
      <c r="B3" s="4" t="s">
        <v>6</v>
      </c>
      <c r="C3" s="4" t="s">
        <v>2</v>
      </c>
      <c r="D3" s="5" t="s">
        <v>3</v>
      </c>
      <c r="E3" s="5" t="s">
        <v>4</v>
      </c>
      <c r="F3" s="6">
        <v>31416.343000000001</v>
      </c>
      <c r="G3" s="7">
        <v>32432.398499999999</v>
      </c>
      <c r="H3" s="8">
        <v>17382.009999999998</v>
      </c>
      <c r="I3" s="9">
        <v>1194607.8559999999</v>
      </c>
      <c r="J3" s="8">
        <v>1188013.216</v>
      </c>
      <c r="K3" s="8">
        <v>600950.97600000002</v>
      </c>
    </row>
    <row r="4" spans="1:11" ht="14.25" customHeight="1" x14ac:dyDescent="0.2">
      <c r="A4" s="25" t="s">
        <v>712</v>
      </c>
      <c r="B4" s="4" t="s">
        <v>5</v>
      </c>
      <c r="C4" s="4"/>
      <c r="D4" s="5"/>
      <c r="E4" s="5"/>
      <c r="F4" s="10">
        <v>1.9350000000000001</v>
      </c>
      <c r="G4" s="11">
        <v>0.624</v>
      </c>
      <c r="H4" s="12"/>
      <c r="I4" s="13">
        <v>24.822900000000001</v>
      </c>
      <c r="J4" s="12">
        <v>9.4085999999999999</v>
      </c>
      <c r="K4" s="12"/>
    </row>
    <row r="5" spans="1:11" ht="15" customHeight="1" x14ac:dyDescent="0.2">
      <c r="A5" s="14" t="s">
        <v>828</v>
      </c>
      <c r="B5" s="15" t="s">
        <v>6</v>
      </c>
      <c r="C5" s="16"/>
      <c r="D5" s="17"/>
      <c r="E5" s="17"/>
      <c r="F5" s="18">
        <v>1.9350000000000001</v>
      </c>
      <c r="G5" s="19">
        <v>0.624</v>
      </c>
      <c r="H5" s="20"/>
      <c r="I5" s="21">
        <v>24.822900000000001</v>
      </c>
      <c r="J5" s="20">
        <v>9.4085999999999999</v>
      </c>
      <c r="K5" s="20"/>
    </row>
    <row r="6" spans="1:11" ht="15" customHeight="1" x14ac:dyDescent="0.2">
      <c r="A6" s="22" t="s">
        <v>7</v>
      </c>
      <c r="B6" s="23" t="s">
        <v>8</v>
      </c>
      <c r="C6" s="23" t="s">
        <v>9</v>
      </c>
      <c r="D6" s="24" t="s">
        <v>10</v>
      </c>
      <c r="E6" s="24" t="s">
        <v>11</v>
      </c>
      <c r="F6" s="18">
        <v>1.9350000000000001</v>
      </c>
      <c r="G6" s="19">
        <v>0.624</v>
      </c>
      <c r="H6" s="20"/>
      <c r="I6" s="21">
        <v>24.822900000000001</v>
      </c>
      <c r="J6" s="20">
        <v>9.4085999999999999</v>
      </c>
      <c r="K6" s="20"/>
    </row>
    <row r="7" spans="1:11" ht="14.25" customHeight="1" x14ac:dyDescent="0.2">
      <c r="A7" s="25" t="s">
        <v>713</v>
      </c>
      <c r="B7" s="4" t="s">
        <v>5</v>
      </c>
      <c r="C7" s="4"/>
      <c r="D7" s="5"/>
      <c r="E7" s="5"/>
      <c r="F7" s="10">
        <v>1.09E-2</v>
      </c>
      <c r="G7" s="11"/>
      <c r="H7" s="12"/>
      <c r="I7" s="13">
        <v>0.16</v>
      </c>
      <c r="J7" s="12"/>
      <c r="K7" s="12"/>
    </row>
    <row r="8" spans="1:11" ht="15" customHeight="1" x14ac:dyDescent="0.2">
      <c r="A8" s="14" t="s">
        <v>829</v>
      </c>
      <c r="B8" s="15" t="s">
        <v>6</v>
      </c>
      <c r="C8" s="16"/>
      <c r="D8" s="17"/>
      <c r="E8" s="17"/>
      <c r="F8" s="18">
        <v>1.09E-2</v>
      </c>
      <c r="G8" s="19"/>
      <c r="H8" s="20"/>
      <c r="I8" s="21">
        <v>0.16</v>
      </c>
      <c r="J8" s="20"/>
      <c r="K8" s="20"/>
    </row>
    <row r="9" spans="1:11" ht="15" customHeight="1" x14ac:dyDescent="0.2">
      <c r="A9" s="22" t="s">
        <v>12</v>
      </c>
      <c r="B9" s="23" t="s">
        <v>8</v>
      </c>
      <c r="C9" s="23" t="s">
        <v>9</v>
      </c>
      <c r="D9" s="24" t="s">
        <v>10</v>
      </c>
      <c r="E9" s="24" t="s">
        <v>13</v>
      </c>
      <c r="F9" s="18"/>
      <c r="G9" s="19"/>
      <c r="H9" s="20"/>
      <c r="I9" s="21"/>
      <c r="J9" s="20"/>
      <c r="K9" s="20"/>
    </row>
    <row r="10" spans="1:11" ht="15" customHeight="1" x14ac:dyDescent="0.2">
      <c r="A10" s="22" t="s">
        <v>14</v>
      </c>
      <c r="B10" s="23" t="s">
        <v>8</v>
      </c>
      <c r="C10" s="23" t="s">
        <v>9</v>
      </c>
      <c r="D10" s="24" t="s">
        <v>10</v>
      </c>
      <c r="E10" s="24" t="s">
        <v>15</v>
      </c>
      <c r="F10" s="18"/>
      <c r="G10" s="19"/>
      <c r="H10" s="20"/>
      <c r="I10" s="21"/>
      <c r="J10" s="20"/>
      <c r="K10" s="20"/>
    </row>
    <row r="11" spans="1:11" ht="15" customHeight="1" x14ac:dyDescent="0.2">
      <c r="A11" s="22" t="s">
        <v>16</v>
      </c>
      <c r="B11" s="23" t="s">
        <v>8</v>
      </c>
      <c r="C11" s="23" t="s">
        <v>9</v>
      </c>
      <c r="D11" s="24" t="s">
        <v>10</v>
      </c>
      <c r="E11" s="24" t="s">
        <v>17</v>
      </c>
      <c r="F11" s="18"/>
      <c r="G11" s="19"/>
      <c r="H11" s="20"/>
      <c r="I11" s="21"/>
      <c r="J11" s="20"/>
      <c r="K11" s="20"/>
    </row>
    <row r="12" spans="1:11" ht="15" customHeight="1" x14ac:dyDescent="0.2">
      <c r="A12" s="22" t="s">
        <v>18</v>
      </c>
      <c r="B12" s="23" t="s">
        <v>8</v>
      </c>
      <c r="C12" s="23" t="s">
        <v>9</v>
      </c>
      <c r="D12" s="24" t="s">
        <v>10</v>
      </c>
      <c r="E12" s="24" t="s">
        <v>17</v>
      </c>
      <c r="F12" s="18">
        <v>1.09E-2</v>
      </c>
      <c r="G12" s="19"/>
      <c r="H12" s="20"/>
      <c r="I12" s="21">
        <v>0.16</v>
      </c>
      <c r="J12" s="20"/>
      <c r="K12" s="20"/>
    </row>
    <row r="13" spans="1:11" ht="14.25" customHeight="1" x14ac:dyDescent="0.2">
      <c r="A13" s="25" t="s">
        <v>714</v>
      </c>
      <c r="B13" s="4" t="s">
        <v>5</v>
      </c>
      <c r="C13" s="4"/>
      <c r="D13" s="5"/>
      <c r="E13" s="5"/>
      <c r="F13" s="10">
        <v>3341.5012999999999</v>
      </c>
      <c r="G13" s="11">
        <v>3428.0437000000002</v>
      </c>
      <c r="H13" s="12">
        <v>1852.1968999999999</v>
      </c>
      <c r="I13" s="13">
        <v>125970.25199999999</v>
      </c>
      <c r="J13" s="12">
        <v>127615.61199999999</v>
      </c>
      <c r="K13" s="12">
        <v>64977.618000000002</v>
      </c>
    </row>
    <row r="14" spans="1:11" ht="15" customHeight="1" x14ac:dyDescent="0.2">
      <c r="A14" s="14" t="s">
        <v>830</v>
      </c>
      <c r="B14" s="15" t="s">
        <v>6</v>
      </c>
      <c r="C14" s="16"/>
      <c r="D14" s="17"/>
      <c r="E14" s="17"/>
      <c r="F14" s="18">
        <v>3341.5012999999999</v>
      </c>
      <c r="G14" s="19">
        <v>3428.0437000000002</v>
      </c>
      <c r="H14" s="20">
        <v>1852.1968999999999</v>
      </c>
      <c r="I14" s="21">
        <v>125970.25199999999</v>
      </c>
      <c r="J14" s="20">
        <v>127615.61199999999</v>
      </c>
      <c r="K14" s="20">
        <v>64977.618000000002</v>
      </c>
    </row>
    <row r="15" spans="1:11" ht="15" customHeight="1" x14ac:dyDescent="0.2">
      <c r="A15" s="22" t="s">
        <v>19</v>
      </c>
      <c r="B15" s="23" t="s">
        <v>8</v>
      </c>
      <c r="C15" s="23" t="s">
        <v>9</v>
      </c>
      <c r="D15" s="24" t="s">
        <v>20</v>
      </c>
      <c r="E15" s="24" t="s">
        <v>21</v>
      </c>
      <c r="F15" s="18">
        <v>81.467399999999998</v>
      </c>
      <c r="G15" s="19">
        <v>92.903000000000006</v>
      </c>
      <c r="H15" s="20">
        <v>52.511899999999997</v>
      </c>
      <c r="I15" s="21">
        <v>2980.7042999999999</v>
      </c>
      <c r="J15" s="20">
        <v>3415.3553999999999</v>
      </c>
      <c r="K15" s="20">
        <v>1823.0734</v>
      </c>
    </row>
    <row r="16" spans="1:11" ht="15" customHeight="1" x14ac:dyDescent="0.2">
      <c r="A16" s="22" t="s">
        <v>22</v>
      </c>
      <c r="B16" s="23" t="s">
        <v>8</v>
      </c>
      <c r="C16" s="23" t="s">
        <v>9</v>
      </c>
      <c r="D16" s="24" t="s">
        <v>20</v>
      </c>
      <c r="E16" s="24" t="s">
        <v>21</v>
      </c>
      <c r="F16" s="18">
        <v>165.22800000000001</v>
      </c>
      <c r="G16" s="19">
        <v>172.68430000000001</v>
      </c>
      <c r="H16" s="20">
        <v>91.1357</v>
      </c>
      <c r="I16" s="21">
        <v>5930.9056</v>
      </c>
      <c r="J16" s="20">
        <v>6183.6273000000001</v>
      </c>
      <c r="K16" s="20">
        <v>3125.7986999999998</v>
      </c>
    </row>
    <row r="17" spans="1:11" ht="15" customHeight="1" x14ac:dyDescent="0.2">
      <c r="A17" s="22" t="s">
        <v>23</v>
      </c>
      <c r="B17" s="23" t="s">
        <v>8</v>
      </c>
      <c r="C17" s="23" t="s">
        <v>9</v>
      </c>
      <c r="D17" s="24" t="s">
        <v>20</v>
      </c>
      <c r="E17" s="24" t="s">
        <v>24</v>
      </c>
      <c r="F17" s="18">
        <v>842.87239999999997</v>
      </c>
      <c r="G17" s="19">
        <v>745.33579999999995</v>
      </c>
      <c r="H17" s="20">
        <v>366.95890000000003</v>
      </c>
      <c r="I17" s="21">
        <v>38888.539799999999</v>
      </c>
      <c r="J17" s="20">
        <v>31985.000499999998</v>
      </c>
      <c r="K17" s="20">
        <v>14135.173000000001</v>
      </c>
    </row>
    <row r="18" spans="1:11" ht="15" customHeight="1" x14ac:dyDescent="0.2">
      <c r="A18" s="22" t="s">
        <v>25</v>
      </c>
      <c r="B18" s="23" t="s">
        <v>8</v>
      </c>
      <c r="C18" s="23" t="s">
        <v>9</v>
      </c>
      <c r="D18" s="24" t="s">
        <v>10</v>
      </c>
      <c r="E18" s="24" t="s">
        <v>26</v>
      </c>
      <c r="F18" s="18">
        <v>12.774800000000001</v>
      </c>
      <c r="G18" s="19">
        <v>10.866</v>
      </c>
      <c r="H18" s="20">
        <v>6.7743000000000002</v>
      </c>
      <c r="I18" s="21">
        <v>151.26679999999999</v>
      </c>
      <c r="J18" s="20">
        <v>127.18680000000001</v>
      </c>
      <c r="K18" s="20">
        <v>77.459400000000002</v>
      </c>
    </row>
    <row r="19" spans="1:11" ht="15" customHeight="1" x14ac:dyDescent="0.2">
      <c r="A19" s="22" t="s">
        <v>27</v>
      </c>
      <c r="B19" s="23" t="s">
        <v>8</v>
      </c>
      <c r="C19" s="23" t="s">
        <v>9</v>
      </c>
      <c r="D19" s="24" t="s">
        <v>10</v>
      </c>
      <c r="E19" s="24" t="s">
        <v>26</v>
      </c>
      <c r="F19" s="18">
        <v>20.055299999999999</v>
      </c>
      <c r="G19" s="19">
        <v>17.836099999999998</v>
      </c>
      <c r="H19" s="20">
        <v>11.187099999999999</v>
      </c>
      <c r="I19" s="21">
        <v>231.08779999999999</v>
      </c>
      <c r="J19" s="20">
        <v>217.71180000000001</v>
      </c>
      <c r="K19" s="20">
        <v>141.00800000000001</v>
      </c>
    </row>
    <row r="20" spans="1:11" ht="15" customHeight="1" x14ac:dyDescent="0.2">
      <c r="A20" s="22" t="s">
        <v>28</v>
      </c>
      <c r="B20" s="23" t="s">
        <v>8</v>
      </c>
      <c r="C20" s="23" t="s">
        <v>9</v>
      </c>
      <c r="D20" s="24" t="s">
        <v>20</v>
      </c>
      <c r="E20" s="24" t="s">
        <v>26</v>
      </c>
      <c r="F20" s="18">
        <v>1.2461</v>
      </c>
      <c r="G20" s="19">
        <v>7.7651000000000003</v>
      </c>
      <c r="H20" s="20">
        <v>2.2378</v>
      </c>
      <c r="I20" s="21">
        <v>20.960899999999999</v>
      </c>
      <c r="J20" s="20">
        <v>127.6666</v>
      </c>
      <c r="K20" s="20">
        <v>33.570999999999998</v>
      </c>
    </row>
    <row r="21" spans="1:11" ht="15" customHeight="1" x14ac:dyDescent="0.2">
      <c r="A21" s="22" t="s">
        <v>29</v>
      </c>
      <c r="B21" s="23" t="s">
        <v>8</v>
      </c>
      <c r="C21" s="23" t="s">
        <v>9</v>
      </c>
      <c r="D21" s="24" t="s">
        <v>30</v>
      </c>
      <c r="E21" s="24" t="s">
        <v>26</v>
      </c>
      <c r="F21" s="18">
        <v>9.6471999999999998</v>
      </c>
      <c r="G21" s="19">
        <v>10.7577</v>
      </c>
      <c r="H21" s="20">
        <v>7.0723000000000003</v>
      </c>
      <c r="I21" s="21">
        <v>112.20610000000001</v>
      </c>
      <c r="J21" s="20">
        <v>131.05279999999999</v>
      </c>
      <c r="K21" s="20">
        <v>85.719800000000006</v>
      </c>
    </row>
    <row r="22" spans="1:11" ht="15" customHeight="1" x14ac:dyDescent="0.2">
      <c r="A22" s="22" t="s">
        <v>31</v>
      </c>
      <c r="B22" s="23" t="s">
        <v>8</v>
      </c>
      <c r="C22" s="23" t="s">
        <v>9</v>
      </c>
      <c r="D22" s="24" t="s">
        <v>10</v>
      </c>
      <c r="E22" s="24" t="s">
        <v>32</v>
      </c>
      <c r="F22" s="18">
        <v>0.1235</v>
      </c>
      <c r="G22" s="19"/>
      <c r="H22" s="20"/>
      <c r="I22" s="21">
        <v>2.2799999999999998</v>
      </c>
      <c r="J22" s="20"/>
      <c r="K22" s="20"/>
    </row>
    <row r="23" spans="1:11" ht="15" customHeight="1" x14ac:dyDescent="0.2">
      <c r="A23" s="22" t="s">
        <v>33</v>
      </c>
      <c r="B23" s="23" t="s">
        <v>8</v>
      </c>
      <c r="C23" s="23" t="s">
        <v>9</v>
      </c>
      <c r="D23" s="24" t="s">
        <v>20</v>
      </c>
      <c r="E23" s="24" t="s">
        <v>34</v>
      </c>
      <c r="F23" s="18"/>
      <c r="G23" s="19"/>
      <c r="H23" s="20">
        <v>7.1128</v>
      </c>
      <c r="I23" s="21"/>
      <c r="J23" s="20"/>
      <c r="K23" s="20">
        <v>247.09899999999999</v>
      </c>
    </row>
    <row r="24" spans="1:11" ht="15" customHeight="1" x14ac:dyDescent="0.2">
      <c r="A24" s="22" t="s">
        <v>35</v>
      </c>
      <c r="B24" s="23" t="s">
        <v>8</v>
      </c>
      <c r="C24" s="23" t="s">
        <v>9</v>
      </c>
      <c r="D24" s="24" t="s">
        <v>20</v>
      </c>
      <c r="E24" s="24" t="s">
        <v>34</v>
      </c>
      <c r="F24" s="18">
        <v>0.18310000000000001</v>
      </c>
      <c r="G24" s="19">
        <v>0.1116</v>
      </c>
      <c r="H24" s="20">
        <v>0.38700000000000001</v>
      </c>
      <c r="I24" s="21">
        <v>5.8884999999999996</v>
      </c>
      <c r="J24" s="20">
        <v>3.7909999999999999</v>
      </c>
      <c r="K24" s="20">
        <v>14.3827</v>
      </c>
    </row>
    <row r="25" spans="1:11" ht="15" customHeight="1" x14ac:dyDescent="0.2">
      <c r="A25" s="22" t="s">
        <v>36</v>
      </c>
      <c r="B25" s="23" t="s">
        <v>8</v>
      </c>
      <c r="C25" s="23" t="s">
        <v>9</v>
      </c>
      <c r="D25" s="24" t="s">
        <v>10</v>
      </c>
      <c r="E25" s="24" t="s">
        <v>37</v>
      </c>
      <c r="F25" s="18">
        <v>1.8938999999999999</v>
      </c>
      <c r="G25" s="19"/>
      <c r="H25" s="20">
        <v>0.22520000000000001</v>
      </c>
      <c r="I25" s="21">
        <v>49.9726</v>
      </c>
      <c r="J25" s="20"/>
      <c r="K25" s="20">
        <v>6.9500999999999999</v>
      </c>
    </row>
    <row r="26" spans="1:11" ht="15" customHeight="1" x14ac:dyDescent="0.2">
      <c r="A26" s="22" t="s">
        <v>38</v>
      </c>
      <c r="B26" s="23" t="s">
        <v>8</v>
      </c>
      <c r="C26" s="23" t="s">
        <v>9</v>
      </c>
      <c r="D26" s="24" t="s">
        <v>10</v>
      </c>
      <c r="E26" s="24" t="s">
        <v>37</v>
      </c>
      <c r="F26" s="18">
        <v>1.3514999999999999</v>
      </c>
      <c r="G26" s="19">
        <v>1.6999999999999999E-3</v>
      </c>
      <c r="H26" s="20"/>
      <c r="I26" s="21">
        <v>37.322600000000001</v>
      </c>
      <c r="J26" s="20">
        <v>6.4000000000000001E-2</v>
      </c>
      <c r="K26" s="20"/>
    </row>
    <row r="27" spans="1:11" ht="15" customHeight="1" x14ac:dyDescent="0.2">
      <c r="A27" s="22" t="s">
        <v>39</v>
      </c>
      <c r="B27" s="23" t="s">
        <v>8</v>
      </c>
      <c r="C27" s="23" t="s">
        <v>9</v>
      </c>
      <c r="D27" s="24" t="s">
        <v>20</v>
      </c>
      <c r="E27" s="24" t="s">
        <v>37</v>
      </c>
      <c r="F27" s="18">
        <v>5.8978000000000002</v>
      </c>
      <c r="G27" s="19">
        <v>0.1087</v>
      </c>
      <c r="H27" s="20"/>
      <c r="I27" s="21">
        <v>169.58080000000001</v>
      </c>
      <c r="J27" s="20">
        <v>3.3822999999999999</v>
      </c>
      <c r="K27" s="20"/>
    </row>
    <row r="28" spans="1:11" ht="15" customHeight="1" x14ac:dyDescent="0.2">
      <c r="A28" s="22" t="s">
        <v>40</v>
      </c>
      <c r="B28" s="23" t="s">
        <v>8</v>
      </c>
      <c r="C28" s="23" t="s">
        <v>9</v>
      </c>
      <c r="D28" s="24" t="s">
        <v>30</v>
      </c>
      <c r="E28" s="24" t="s">
        <v>37</v>
      </c>
      <c r="F28" s="18">
        <v>0.69669999999999999</v>
      </c>
      <c r="G28" s="19">
        <v>28.392900000000001</v>
      </c>
      <c r="H28" s="20">
        <v>2.1978</v>
      </c>
      <c r="I28" s="21">
        <v>25.606300000000001</v>
      </c>
      <c r="J28" s="20">
        <v>1226.3661999999999</v>
      </c>
      <c r="K28" s="20">
        <v>96.438800000000001</v>
      </c>
    </row>
    <row r="29" spans="1:11" ht="15" customHeight="1" x14ac:dyDescent="0.2">
      <c r="A29" s="22" t="s">
        <v>41</v>
      </c>
      <c r="B29" s="23" t="s">
        <v>8</v>
      </c>
      <c r="C29" s="23" t="s">
        <v>9</v>
      </c>
      <c r="D29" s="24" t="s">
        <v>10</v>
      </c>
      <c r="E29" s="24" t="s">
        <v>42</v>
      </c>
      <c r="F29" s="18">
        <v>117.6534</v>
      </c>
      <c r="G29" s="19">
        <v>68.117699999999999</v>
      </c>
      <c r="H29" s="20">
        <v>28.349900000000002</v>
      </c>
      <c r="I29" s="21">
        <v>3055.9405999999999</v>
      </c>
      <c r="J29" s="20">
        <v>1781.8513</v>
      </c>
      <c r="K29" s="20">
        <v>711.07719999999995</v>
      </c>
    </row>
    <row r="30" spans="1:11" ht="15" customHeight="1" x14ac:dyDescent="0.2">
      <c r="A30" s="22" t="s">
        <v>43</v>
      </c>
      <c r="B30" s="23" t="s">
        <v>8</v>
      </c>
      <c r="C30" s="23" t="s">
        <v>9</v>
      </c>
      <c r="D30" s="24" t="s">
        <v>10</v>
      </c>
      <c r="E30" s="24" t="s">
        <v>42</v>
      </c>
      <c r="F30" s="18">
        <v>38.677799999999998</v>
      </c>
      <c r="G30" s="19">
        <v>31.4983</v>
      </c>
      <c r="H30" s="20">
        <v>9.7551000000000005</v>
      </c>
      <c r="I30" s="21">
        <v>954.11220000000003</v>
      </c>
      <c r="J30" s="20">
        <v>803.28520000000003</v>
      </c>
      <c r="K30" s="20">
        <v>236.19829999999999</v>
      </c>
    </row>
    <row r="31" spans="1:11" ht="15" customHeight="1" x14ac:dyDescent="0.2">
      <c r="A31" s="22" t="s">
        <v>44</v>
      </c>
      <c r="B31" s="23" t="s">
        <v>8</v>
      </c>
      <c r="C31" s="23" t="s">
        <v>9</v>
      </c>
      <c r="D31" s="24" t="s">
        <v>20</v>
      </c>
      <c r="E31" s="24" t="s">
        <v>42</v>
      </c>
      <c r="F31" s="18">
        <v>6.1199999999999997E-2</v>
      </c>
      <c r="G31" s="19"/>
      <c r="H31" s="20"/>
      <c r="I31" s="21">
        <v>1.6046</v>
      </c>
      <c r="J31" s="20"/>
      <c r="K31" s="20"/>
    </row>
    <row r="32" spans="1:11" ht="15" customHeight="1" x14ac:dyDescent="0.2">
      <c r="A32" s="22" t="s">
        <v>45</v>
      </c>
      <c r="B32" s="23" t="s">
        <v>8</v>
      </c>
      <c r="C32" s="23" t="s">
        <v>9</v>
      </c>
      <c r="D32" s="24" t="s">
        <v>20</v>
      </c>
      <c r="E32" s="24" t="s">
        <v>42</v>
      </c>
      <c r="F32" s="18">
        <v>36.521799999999999</v>
      </c>
      <c r="G32" s="19">
        <v>5.1192000000000002</v>
      </c>
      <c r="H32" s="20">
        <v>1.1213</v>
      </c>
      <c r="I32" s="21">
        <v>1199.5277000000001</v>
      </c>
      <c r="J32" s="20">
        <v>135.36869999999999</v>
      </c>
      <c r="K32" s="20">
        <v>30.554400000000001</v>
      </c>
    </row>
    <row r="33" spans="1:11" ht="15" customHeight="1" x14ac:dyDescent="0.2">
      <c r="A33" s="22" t="s">
        <v>46</v>
      </c>
      <c r="B33" s="23" t="s">
        <v>8</v>
      </c>
      <c r="C33" s="23" t="s">
        <v>9</v>
      </c>
      <c r="D33" s="24" t="s">
        <v>20</v>
      </c>
      <c r="E33" s="24" t="s">
        <v>42</v>
      </c>
      <c r="F33" s="18">
        <v>21.958300000000001</v>
      </c>
      <c r="G33" s="19">
        <v>39.467100000000002</v>
      </c>
      <c r="H33" s="20">
        <v>10.7844</v>
      </c>
      <c r="I33" s="21">
        <v>726.31399999999996</v>
      </c>
      <c r="J33" s="20">
        <v>1508.4713999999999</v>
      </c>
      <c r="K33" s="20">
        <v>314.52640000000002</v>
      </c>
    </row>
    <row r="34" spans="1:11" ht="15" customHeight="1" x14ac:dyDescent="0.2">
      <c r="A34" s="22" t="s">
        <v>47</v>
      </c>
      <c r="B34" s="23" t="s">
        <v>8</v>
      </c>
      <c r="C34" s="23" t="s">
        <v>9</v>
      </c>
      <c r="D34" s="24" t="s">
        <v>20</v>
      </c>
      <c r="E34" s="24" t="s">
        <v>42</v>
      </c>
      <c r="F34" s="18">
        <v>27.983599999999999</v>
      </c>
      <c r="G34" s="19">
        <v>162.41050000000001</v>
      </c>
      <c r="H34" s="20">
        <v>103.16800000000001</v>
      </c>
      <c r="I34" s="21">
        <v>928.81529999999998</v>
      </c>
      <c r="J34" s="20">
        <v>5484.9444999999996</v>
      </c>
      <c r="K34" s="20">
        <v>3446.0194999999999</v>
      </c>
    </row>
    <row r="35" spans="1:11" ht="15" customHeight="1" x14ac:dyDescent="0.2">
      <c r="A35" s="22" t="s">
        <v>48</v>
      </c>
      <c r="B35" s="23" t="s">
        <v>8</v>
      </c>
      <c r="C35" s="23" t="s">
        <v>9</v>
      </c>
      <c r="D35" s="24" t="s">
        <v>10</v>
      </c>
      <c r="E35" s="24" t="s">
        <v>42</v>
      </c>
      <c r="F35" s="18">
        <v>221.17019999999999</v>
      </c>
      <c r="G35" s="19">
        <v>159.9896</v>
      </c>
      <c r="H35" s="20">
        <v>77.865600000000001</v>
      </c>
      <c r="I35" s="21">
        <v>6715.8593000000001</v>
      </c>
      <c r="J35" s="20">
        <v>4333.2687999999998</v>
      </c>
      <c r="K35" s="20">
        <v>2035.5381</v>
      </c>
    </row>
    <row r="36" spans="1:11" ht="15" customHeight="1" x14ac:dyDescent="0.2">
      <c r="A36" s="22" t="s">
        <v>49</v>
      </c>
      <c r="B36" s="23" t="s">
        <v>8</v>
      </c>
      <c r="C36" s="23" t="s">
        <v>9</v>
      </c>
      <c r="D36" s="24" t="s">
        <v>20</v>
      </c>
      <c r="E36" s="24" t="s">
        <v>42</v>
      </c>
      <c r="F36" s="18">
        <v>6.4486999999999997</v>
      </c>
      <c r="G36" s="19">
        <v>1.6863999999999999</v>
      </c>
      <c r="H36" s="20"/>
      <c r="I36" s="21">
        <v>194.65190000000001</v>
      </c>
      <c r="J36" s="20">
        <v>50.700299999999999</v>
      </c>
      <c r="K36" s="20"/>
    </row>
    <row r="37" spans="1:11" ht="15" customHeight="1" x14ac:dyDescent="0.2">
      <c r="A37" s="22" t="s">
        <v>50</v>
      </c>
      <c r="B37" s="23" t="s">
        <v>8</v>
      </c>
      <c r="C37" s="23" t="s">
        <v>9</v>
      </c>
      <c r="D37" s="24" t="s">
        <v>20</v>
      </c>
      <c r="E37" s="24" t="s">
        <v>42</v>
      </c>
      <c r="F37" s="18"/>
      <c r="G37" s="19"/>
      <c r="H37" s="20"/>
      <c r="I37" s="21"/>
      <c r="J37" s="20"/>
      <c r="K37" s="20"/>
    </row>
    <row r="38" spans="1:11" ht="15" customHeight="1" x14ac:dyDescent="0.2">
      <c r="A38" s="22" t="s">
        <v>51</v>
      </c>
      <c r="B38" s="23" t="s">
        <v>8</v>
      </c>
      <c r="C38" s="23" t="s">
        <v>9</v>
      </c>
      <c r="D38" s="24" t="s">
        <v>20</v>
      </c>
      <c r="E38" s="24" t="s">
        <v>42</v>
      </c>
      <c r="F38" s="18">
        <v>1663.8369</v>
      </c>
      <c r="G38" s="19">
        <v>1815.6596999999999</v>
      </c>
      <c r="H38" s="20">
        <v>1049.2485999999999</v>
      </c>
      <c r="I38" s="21">
        <v>62012.672500000001</v>
      </c>
      <c r="J38" s="20">
        <v>68679.966</v>
      </c>
      <c r="K38" s="20">
        <v>37856.881999999998</v>
      </c>
    </row>
    <row r="39" spans="1:11" ht="15" customHeight="1" x14ac:dyDescent="0.2">
      <c r="A39" s="22" t="s">
        <v>52</v>
      </c>
      <c r="B39" s="23" t="s">
        <v>8</v>
      </c>
      <c r="C39" s="23" t="s">
        <v>9</v>
      </c>
      <c r="D39" s="24" t="s">
        <v>10</v>
      </c>
      <c r="E39" s="24" t="s">
        <v>17</v>
      </c>
      <c r="F39" s="18">
        <v>1.7698</v>
      </c>
      <c r="G39" s="19">
        <v>0.36170000000000002</v>
      </c>
      <c r="H39" s="20">
        <v>0.20810000000000001</v>
      </c>
      <c r="I39" s="21">
        <v>50.220500000000001</v>
      </c>
      <c r="J39" s="20">
        <v>12.068099999999999</v>
      </c>
      <c r="K39" s="20">
        <v>5.4642999999999997</v>
      </c>
    </row>
    <row r="40" spans="1:11" ht="15" customHeight="1" x14ac:dyDescent="0.2">
      <c r="A40" s="22" t="s">
        <v>53</v>
      </c>
      <c r="B40" s="23" t="s">
        <v>8</v>
      </c>
      <c r="C40" s="23" t="s">
        <v>9</v>
      </c>
      <c r="D40" s="24" t="s">
        <v>10</v>
      </c>
      <c r="E40" s="24" t="s">
        <v>17</v>
      </c>
      <c r="F40" s="18">
        <v>61.981900000000003</v>
      </c>
      <c r="G40" s="19">
        <v>56.970199999999998</v>
      </c>
      <c r="H40" s="20">
        <v>23.8948</v>
      </c>
      <c r="I40" s="21">
        <v>1524.2099000000001</v>
      </c>
      <c r="J40" s="20">
        <v>1404.4858999999999</v>
      </c>
      <c r="K40" s="20">
        <v>554.68420000000003</v>
      </c>
    </row>
    <row r="41" spans="1:11" ht="14.25" customHeight="1" x14ac:dyDescent="0.2">
      <c r="A41" s="25" t="s">
        <v>715</v>
      </c>
      <c r="B41" s="4" t="s">
        <v>5</v>
      </c>
      <c r="C41" s="4"/>
      <c r="D41" s="5"/>
      <c r="E41" s="5"/>
      <c r="F41" s="10">
        <v>511.78089999999997</v>
      </c>
      <c r="G41" s="11">
        <v>507.3048</v>
      </c>
      <c r="H41" s="12">
        <v>295.71379999999999</v>
      </c>
      <c r="I41" s="13">
        <v>23199.701799999999</v>
      </c>
      <c r="J41" s="12">
        <v>21680.539100000002</v>
      </c>
      <c r="K41" s="12">
        <v>11434.4841</v>
      </c>
    </row>
    <row r="42" spans="1:11" ht="15" customHeight="1" x14ac:dyDescent="0.2">
      <c r="A42" s="14" t="s">
        <v>831</v>
      </c>
      <c r="B42" s="15" t="s">
        <v>6</v>
      </c>
      <c r="C42" s="16"/>
      <c r="D42" s="17"/>
      <c r="E42" s="17"/>
      <c r="F42" s="18">
        <v>511.78089999999997</v>
      </c>
      <c r="G42" s="19">
        <v>507.3048</v>
      </c>
      <c r="H42" s="20">
        <v>295.71379999999999</v>
      </c>
      <c r="I42" s="21">
        <v>23199.701799999999</v>
      </c>
      <c r="J42" s="20">
        <v>21680.539100000002</v>
      </c>
      <c r="K42" s="20">
        <v>11434.4841</v>
      </c>
    </row>
    <row r="43" spans="1:11" ht="15" customHeight="1" x14ac:dyDescent="0.2">
      <c r="A43" s="22" t="s">
        <v>54</v>
      </c>
      <c r="B43" s="23" t="s">
        <v>8</v>
      </c>
      <c r="C43" s="23" t="s">
        <v>9</v>
      </c>
      <c r="D43" s="24" t="s">
        <v>20</v>
      </c>
      <c r="E43" s="24" t="s">
        <v>24</v>
      </c>
      <c r="F43" s="18">
        <v>78.227999999999994</v>
      </c>
      <c r="G43" s="19">
        <v>99.030500000000004</v>
      </c>
      <c r="H43" s="20">
        <v>56.674100000000003</v>
      </c>
      <c r="I43" s="21">
        <v>4816.5708000000004</v>
      </c>
      <c r="J43" s="20">
        <v>5822.6243999999997</v>
      </c>
      <c r="K43" s="20">
        <v>2923.4182999999998</v>
      </c>
    </row>
    <row r="44" spans="1:11" ht="15" customHeight="1" x14ac:dyDescent="0.2">
      <c r="A44" s="22" t="s">
        <v>55</v>
      </c>
      <c r="B44" s="23" t="s">
        <v>8</v>
      </c>
      <c r="C44" s="23" t="s">
        <v>9</v>
      </c>
      <c r="D44" s="24" t="s">
        <v>10</v>
      </c>
      <c r="E44" s="24" t="s">
        <v>37</v>
      </c>
      <c r="F44" s="18">
        <v>11.11</v>
      </c>
      <c r="G44" s="19">
        <v>8.9543999999999997</v>
      </c>
      <c r="H44" s="20">
        <v>2.2328999999999999</v>
      </c>
      <c r="I44" s="21">
        <v>523.16819999999996</v>
      </c>
      <c r="J44" s="20">
        <v>387.32229999999998</v>
      </c>
      <c r="K44" s="20">
        <v>84.428399999999996</v>
      </c>
    </row>
    <row r="45" spans="1:11" ht="15" customHeight="1" x14ac:dyDescent="0.2">
      <c r="A45" s="22" t="s">
        <v>56</v>
      </c>
      <c r="B45" s="23" t="s">
        <v>8</v>
      </c>
      <c r="C45" s="23" t="s">
        <v>9</v>
      </c>
      <c r="D45" s="24" t="s">
        <v>10</v>
      </c>
      <c r="E45" s="24" t="s">
        <v>37</v>
      </c>
      <c r="F45" s="18">
        <v>79.953000000000003</v>
      </c>
      <c r="G45" s="19">
        <v>73.757099999999994</v>
      </c>
      <c r="H45" s="20">
        <v>40.362299999999998</v>
      </c>
      <c r="I45" s="21">
        <v>3388.3481999999999</v>
      </c>
      <c r="J45" s="20">
        <v>2840.8843000000002</v>
      </c>
      <c r="K45" s="20">
        <v>1387.0689</v>
      </c>
    </row>
    <row r="46" spans="1:11" ht="15" customHeight="1" x14ac:dyDescent="0.2">
      <c r="A46" s="22" t="s">
        <v>57</v>
      </c>
      <c r="B46" s="23" t="s">
        <v>8</v>
      </c>
      <c r="C46" s="23" t="s">
        <v>9</v>
      </c>
      <c r="D46" s="24" t="s">
        <v>10</v>
      </c>
      <c r="E46" s="24" t="s">
        <v>37</v>
      </c>
      <c r="F46" s="18">
        <v>12.195</v>
      </c>
      <c r="G46" s="19">
        <v>8.5597999999999992</v>
      </c>
      <c r="H46" s="20">
        <v>1.6516999999999999</v>
      </c>
      <c r="I46" s="21">
        <v>553.03880000000004</v>
      </c>
      <c r="J46" s="20">
        <v>369.83049999999997</v>
      </c>
      <c r="K46" s="20">
        <v>64.100099999999998</v>
      </c>
    </row>
    <row r="47" spans="1:11" ht="15" customHeight="1" x14ac:dyDescent="0.2">
      <c r="A47" s="22" t="s">
        <v>58</v>
      </c>
      <c r="B47" s="23" t="s">
        <v>8</v>
      </c>
      <c r="C47" s="23" t="s">
        <v>9</v>
      </c>
      <c r="D47" s="24" t="s">
        <v>10</v>
      </c>
      <c r="E47" s="24" t="s">
        <v>37</v>
      </c>
      <c r="F47" s="18">
        <v>60.510800000000003</v>
      </c>
      <c r="G47" s="19">
        <v>52.405999999999999</v>
      </c>
      <c r="H47" s="20">
        <v>30.122800000000002</v>
      </c>
      <c r="I47" s="21">
        <v>2540.1291999999999</v>
      </c>
      <c r="J47" s="20">
        <v>2011.4869000000001</v>
      </c>
      <c r="K47" s="20">
        <v>1066.0352</v>
      </c>
    </row>
    <row r="48" spans="1:11" ht="15" customHeight="1" x14ac:dyDescent="0.2">
      <c r="A48" s="22" t="s">
        <v>59</v>
      </c>
      <c r="B48" s="23" t="s">
        <v>8</v>
      </c>
      <c r="C48" s="23" t="s">
        <v>9</v>
      </c>
      <c r="D48" s="24" t="s">
        <v>10</v>
      </c>
      <c r="E48" s="24" t="s">
        <v>37</v>
      </c>
      <c r="F48" s="18">
        <v>47.8005</v>
      </c>
      <c r="G48" s="19">
        <v>51.199100000000001</v>
      </c>
      <c r="H48" s="20">
        <v>29.6906</v>
      </c>
      <c r="I48" s="21">
        <v>1970.2177999999999</v>
      </c>
      <c r="J48" s="20">
        <v>1924.2328</v>
      </c>
      <c r="K48" s="20">
        <v>1027.8571999999999</v>
      </c>
    </row>
    <row r="49" spans="1:11" ht="15" customHeight="1" x14ac:dyDescent="0.2">
      <c r="A49" s="22" t="s">
        <v>60</v>
      </c>
      <c r="B49" s="23" t="s">
        <v>8</v>
      </c>
      <c r="C49" s="23" t="s">
        <v>9</v>
      </c>
      <c r="D49" s="24" t="s">
        <v>20</v>
      </c>
      <c r="E49" s="24" t="s">
        <v>37</v>
      </c>
      <c r="F49" s="18"/>
      <c r="G49" s="19">
        <v>3.2536</v>
      </c>
      <c r="H49" s="20">
        <v>4.3144</v>
      </c>
      <c r="I49" s="21"/>
      <c r="J49" s="20">
        <v>139.34979999999999</v>
      </c>
      <c r="K49" s="20">
        <v>169.84690000000001</v>
      </c>
    </row>
    <row r="50" spans="1:11" ht="15" customHeight="1" x14ac:dyDescent="0.2">
      <c r="A50" s="22" t="s">
        <v>61</v>
      </c>
      <c r="B50" s="23" t="s">
        <v>8</v>
      </c>
      <c r="C50" s="23" t="s">
        <v>9</v>
      </c>
      <c r="D50" s="24" t="s">
        <v>20</v>
      </c>
      <c r="E50" s="24" t="s">
        <v>37</v>
      </c>
      <c r="F50" s="18">
        <v>5.5922000000000001</v>
      </c>
      <c r="G50" s="19">
        <v>5.3672000000000004</v>
      </c>
      <c r="H50" s="20">
        <v>2.5727000000000002</v>
      </c>
      <c r="I50" s="21">
        <v>261.04790000000003</v>
      </c>
      <c r="J50" s="20">
        <v>232.43600000000001</v>
      </c>
      <c r="K50" s="20">
        <v>93.995500000000007</v>
      </c>
    </row>
    <row r="51" spans="1:11" ht="15" customHeight="1" x14ac:dyDescent="0.2">
      <c r="A51" s="22" t="s">
        <v>62</v>
      </c>
      <c r="B51" s="23" t="s">
        <v>8</v>
      </c>
      <c r="C51" s="23" t="s">
        <v>9</v>
      </c>
      <c r="D51" s="24" t="s">
        <v>20</v>
      </c>
      <c r="E51" s="24" t="s">
        <v>37</v>
      </c>
      <c r="F51" s="18">
        <v>53.490699999999997</v>
      </c>
      <c r="G51" s="19">
        <v>44.783700000000003</v>
      </c>
      <c r="H51" s="20">
        <v>26.440899999999999</v>
      </c>
      <c r="I51" s="21">
        <v>2262.5698000000002</v>
      </c>
      <c r="J51" s="20">
        <v>1667.4681</v>
      </c>
      <c r="K51" s="20">
        <v>920.88139999999999</v>
      </c>
    </row>
    <row r="52" spans="1:11" ht="15" customHeight="1" x14ac:dyDescent="0.2">
      <c r="A52" s="22" t="s">
        <v>63</v>
      </c>
      <c r="B52" s="23" t="s">
        <v>8</v>
      </c>
      <c r="C52" s="23" t="s">
        <v>9</v>
      </c>
      <c r="D52" s="24" t="s">
        <v>64</v>
      </c>
      <c r="E52" s="24" t="s">
        <v>37</v>
      </c>
      <c r="F52" s="18">
        <v>8.2710000000000008</v>
      </c>
      <c r="G52" s="19">
        <v>9.9309999999999992</v>
      </c>
      <c r="H52" s="20">
        <v>1.1805000000000001</v>
      </c>
      <c r="I52" s="21">
        <v>392.0086</v>
      </c>
      <c r="J52" s="20">
        <v>426.19690000000003</v>
      </c>
      <c r="K52" s="20">
        <v>46.280799999999999</v>
      </c>
    </row>
    <row r="53" spans="1:11" ht="15" customHeight="1" x14ac:dyDescent="0.2">
      <c r="A53" s="22" t="s">
        <v>65</v>
      </c>
      <c r="B53" s="23" t="s">
        <v>8</v>
      </c>
      <c r="C53" s="23" t="s">
        <v>9</v>
      </c>
      <c r="D53" s="24" t="s">
        <v>64</v>
      </c>
      <c r="E53" s="24" t="s">
        <v>37</v>
      </c>
      <c r="F53" s="18">
        <v>70.562299999999993</v>
      </c>
      <c r="G53" s="19">
        <v>56.785600000000002</v>
      </c>
      <c r="H53" s="20">
        <v>30.796600000000002</v>
      </c>
      <c r="I53" s="21">
        <v>2842.3220000000001</v>
      </c>
      <c r="J53" s="20">
        <v>2121.0371</v>
      </c>
      <c r="K53" s="20">
        <v>1067.8224</v>
      </c>
    </row>
    <row r="54" spans="1:11" ht="15" customHeight="1" x14ac:dyDescent="0.2">
      <c r="A54" s="22" t="s">
        <v>66</v>
      </c>
      <c r="B54" s="23" t="s">
        <v>8</v>
      </c>
      <c r="C54" s="23" t="s">
        <v>9</v>
      </c>
      <c r="D54" s="24" t="s">
        <v>20</v>
      </c>
      <c r="E54" s="24" t="s">
        <v>37</v>
      </c>
      <c r="F54" s="18">
        <v>34.495899999999999</v>
      </c>
      <c r="G54" s="19">
        <v>35.333399999999997</v>
      </c>
      <c r="H54" s="20">
        <v>28.078199999999999</v>
      </c>
      <c r="I54" s="21">
        <v>1446.3839</v>
      </c>
      <c r="J54" s="20">
        <v>1359.9783</v>
      </c>
      <c r="K54" s="20">
        <v>967.9162</v>
      </c>
    </row>
    <row r="55" spans="1:11" ht="15" customHeight="1" x14ac:dyDescent="0.2">
      <c r="A55" s="22" t="s">
        <v>67</v>
      </c>
      <c r="B55" s="23" t="s">
        <v>8</v>
      </c>
      <c r="C55" s="23" t="s">
        <v>9</v>
      </c>
      <c r="D55" s="24" t="s">
        <v>30</v>
      </c>
      <c r="E55" s="24" t="s">
        <v>68</v>
      </c>
      <c r="F55" s="18">
        <v>49.5715</v>
      </c>
      <c r="G55" s="19">
        <v>57.943199999999997</v>
      </c>
      <c r="H55" s="20">
        <v>41.595799999999997</v>
      </c>
      <c r="I55" s="21">
        <v>2203.8969999999999</v>
      </c>
      <c r="J55" s="20">
        <v>2377.6914999999999</v>
      </c>
      <c r="K55" s="20">
        <v>1614.8326999999999</v>
      </c>
    </row>
    <row r="56" spans="1:11" ht="14.25" customHeight="1" x14ac:dyDescent="0.2">
      <c r="A56" s="25" t="s">
        <v>716</v>
      </c>
      <c r="B56" s="4" t="s">
        <v>5</v>
      </c>
      <c r="C56" s="4"/>
      <c r="D56" s="5"/>
      <c r="E56" s="5"/>
      <c r="F56" s="10"/>
      <c r="G56" s="11">
        <v>4.4634999999999998</v>
      </c>
      <c r="H56" s="12">
        <v>5.9009999999999998</v>
      </c>
      <c r="I56" s="13"/>
      <c r="J56" s="12">
        <v>231.33420000000001</v>
      </c>
      <c r="K56" s="12">
        <v>348.19819999999999</v>
      </c>
    </row>
    <row r="57" spans="1:11" ht="15" customHeight="1" x14ac:dyDescent="0.2">
      <c r="A57" s="14" t="s">
        <v>832</v>
      </c>
      <c r="B57" s="15" t="s">
        <v>6</v>
      </c>
      <c r="C57" s="16"/>
      <c r="D57" s="17"/>
      <c r="E57" s="17"/>
      <c r="F57" s="18"/>
      <c r="G57" s="19">
        <v>4.4634999999999998</v>
      </c>
      <c r="H57" s="20">
        <v>5.9009999999999998</v>
      </c>
      <c r="I57" s="21"/>
      <c r="J57" s="20">
        <v>231.33420000000001</v>
      </c>
      <c r="K57" s="20">
        <v>348.19819999999999</v>
      </c>
    </row>
    <row r="58" spans="1:11" ht="15" customHeight="1" x14ac:dyDescent="0.2">
      <c r="A58" s="22" t="s">
        <v>70</v>
      </c>
      <c r="B58" s="23" t="s">
        <v>8</v>
      </c>
      <c r="C58" s="23" t="s">
        <v>9</v>
      </c>
      <c r="D58" s="24" t="s">
        <v>20</v>
      </c>
      <c r="E58" s="24" t="s">
        <v>24</v>
      </c>
      <c r="F58" s="18"/>
      <c r="G58" s="19"/>
      <c r="H58" s="20">
        <v>5.7117000000000004</v>
      </c>
      <c r="I58" s="21"/>
      <c r="J58" s="20"/>
      <c r="K58" s="20">
        <v>338.46300000000002</v>
      </c>
    </row>
    <row r="59" spans="1:11" ht="15" customHeight="1" x14ac:dyDescent="0.2">
      <c r="A59" s="22" t="s">
        <v>71</v>
      </c>
      <c r="B59" s="23" t="s">
        <v>8</v>
      </c>
      <c r="C59" s="23" t="s">
        <v>9</v>
      </c>
      <c r="D59" s="24" t="s">
        <v>20</v>
      </c>
      <c r="E59" s="24" t="s">
        <v>68</v>
      </c>
      <c r="F59" s="18"/>
      <c r="G59" s="19">
        <v>4.4634999999999998</v>
      </c>
      <c r="H59" s="20">
        <v>0.1893</v>
      </c>
      <c r="I59" s="21"/>
      <c r="J59" s="20">
        <v>231.33420000000001</v>
      </c>
      <c r="K59" s="20">
        <v>9.7352000000000007</v>
      </c>
    </row>
    <row r="60" spans="1:11" ht="14.25" customHeight="1" x14ac:dyDescent="0.2">
      <c r="A60" s="25" t="s">
        <v>717</v>
      </c>
      <c r="B60" s="4" t="s">
        <v>5</v>
      </c>
      <c r="C60" s="4"/>
      <c r="D60" s="5"/>
      <c r="E60" s="5"/>
      <c r="F60" s="10">
        <v>0.70520000000000005</v>
      </c>
      <c r="G60" s="11"/>
      <c r="H60" s="12"/>
      <c r="I60" s="13">
        <v>47.325299999999999</v>
      </c>
      <c r="J60" s="12"/>
      <c r="K60" s="12"/>
    </row>
    <row r="61" spans="1:11" ht="15" customHeight="1" x14ac:dyDescent="0.2">
      <c r="A61" s="14" t="s">
        <v>834</v>
      </c>
      <c r="B61" s="15" t="s">
        <v>6</v>
      </c>
      <c r="C61" s="16"/>
      <c r="D61" s="17"/>
      <c r="E61" s="17"/>
      <c r="F61" s="18">
        <v>0.70520000000000005</v>
      </c>
      <c r="G61" s="19"/>
      <c r="H61" s="20"/>
      <c r="I61" s="21">
        <v>47.325299999999999</v>
      </c>
      <c r="J61" s="20"/>
      <c r="K61" s="20"/>
    </row>
    <row r="62" spans="1:11" ht="15" customHeight="1" x14ac:dyDescent="0.2">
      <c r="A62" s="22" t="s">
        <v>72</v>
      </c>
      <c r="B62" s="23" t="s">
        <v>8</v>
      </c>
      <c r="C62" s="23" t="s">
        <v>9</v>
      </c>
      <c r="D62" s="24" t="s">
        <v>20</v>
      </c>
      <c r="E62" s="24" t="s">
        <v>24</v>
      </c>
      <c r="F62" s="18">
        <v>0.70520000000000005</v>
      </c>
      <c r="G62" s="19"/>
      <c r="H62" s="20"/>
      <c r="I62" s="21">
        <v>47.325299999999999</v>
      </c>
      <c r="J62" s="20"/>
      <c r="K62" s="20"/>
    </row>
    <row r="63" spans="1:11" ht="14.25" customHeight="1" x14ac:dyDescent="0.2">
      <c r="A63" s="25" t="s">
        <v>718</v>
      </c>
      <c r="B63" s="4" t="s">
        <v>5</v>
      </c>
      <c r="C63" s="4"/>
      <c r="D63" s="5"/>
      <c r="E63" s="5"/>
      <c r="F63" s="10">
        <v>104.66630000000001</v>
      </c>
      <c r="G63" s="11">
        <v>94.425600000000003</v>
      </c>
      <c r="H63" s="12">
        <v>45.948500000000003</v>
      </c>
      <c r="I63" s="13">
        <v>5728.6422000000002</v>
      </c>
      <c r="J63" s="12">
        <v>5002.3734000000004</v>
      </c>
      <c r="K63" s="12">
        <v>2228.9189999999999</v>
      </c>
    </row>
    <row r="64" spans="1:11" ht="15" customHeight="1" x14ac:dyDescent="0.2">
      <c r="A64" s="14" t="s">
        <v>835</v>
      </c>
      <c r="B64" s="15" t="s">
        <v>6</v>
      </c>
      <c r="C64" s="16"/>
      <c r="D64" s="17"/>
      <c r="E64" s="17"/>
      <c r="F64" s="18">
        <v>104.66630000000001</v>
      </c>
      <c r="G64" s="19">
        <v>94.425600000000003</v>
      </c>
      <c r="H64" s="20">
        <v>45.948500000000003</v>
      </c>
      <c r="I64" s="21">
        <v>5728.6422000000002</v>
      </c>
      <c r="J64" s="20">
        <v>5002.3734000000004</v>
      </c>
      <c r="K64" s="20">
        <v>2228.9189999999999</v>
      </c>
    </row>
    <row r="65" spans="1:11" ht="15" customHeight="1" x14ac:dyDescent="0.2">
      <c r="A65" s="22" t="s">
        <v>73</v>
      </c>
      <c r="B65" s="23" t="s">
        <v>8</v>
      </c>
      <c r="C65" s="23" t="s">
        <v>9</v>
      </c>
      <c r="D65" s="24" t="s">
        <v>20</v>
      </c>
      <c r="E65" s="24" t="s">
        <v>21</v>
      </c>
      <c r="F65" s="18">
        <v>0.76280000000000003</v>
      </c>
      <c r="G65" s="19">
        <v>0.23669999999999999</v>
      </c>
      <c r="H65" s="20">
        <v>0.1135</v>
      </c>
      <c r="I65" s="21">
        <v>43.074599999999997</v>
      </c>
      <c r="J65" s="20">
        <v>13.9861</v>
      </c>
      <c r="K65" s="20">
        <v>6.5488999999999997</v>
      </c>
    </row>
    <row r="66" spans="1:11" ht="15" customHeight="1" x14ac:dyDescent="0.2">
      <c r="A66" s="22" t="s">
        <v>74</v>
      </c>
      <c r="B66" s="23" t="s">
        <v>8</v>
      </c>
      <c r="C66" s="23" t="s">
        <v>9</v>
      </c>
      <c r="D66" s="24" t="s">
        <v>64</v>
      </c>
      <c r="E66" s="24" t="s">
        <v>21</v>
      </c>
      <c r="F66" s="18">
        <v>14.3467</v>
      </c>
      <c r="G66" s="19">
        <v>14.9893</v>
      </c>
      <c r="H66" s="20">
        <v>7.9457000000000004</v>
      </c>
      <c r="I66" s="21">
        <v>749.43960000000004</v>
      </c>
      <c r="J66" s="20">
        <v>788.71510000000001</v>
      </c>
      <c r="K66" s="20">
        <v>388.85250000000002</v>
      </c>
    </row>
    <row r="67" spans="1:11" ht="15" customHeight="1" x14ac:dyDescent="0.2">
      <c r="A67" s="22" t="s">
        <v>75</v>
      </c>
      <c r="B67" s="23" t="s">
        <v>8</v>
      </c>
      <c r="C67" s="23" t="s">
        <v>9</v>
      </c>
      <c r="D67" s="24" t="s">
        <v>10</v>
      </c>
      <c r="E67" s="24" t="s">
        <v>21</v>
      </c>
      <c r="F67" s="18">
        <v>9.9741999999999997</v>
      </c>
      <c r="G67" s="19">
        <v>17.767600000000002</v>
      </c>
      <c r="H67" s="20">
        <v>9.7081</v>
      </c>
      <c r="I67" s="21">
        <v>530.94489999999996</v>
      </c>
      <c r="J67" s="20">
        <v>921.25450000000001</v>
      </c>
      <c r="K67" s="20">
        <v>442.90179999999998</v>
      </c>
    </row>
    <row r="68" spans="1:11" ht="15" customHeight="1" x14ac:dyDescent="0.2">
      <c r="A68" s="22" t="s">
        <v>76</v>
      </c>
      <c r="B68" s="23" t="s">
        <v>8</v>
      </c>
      <c r="C68" s="23" t="s">
        <v>9</v>
      </c>
      <c r="D68" s="24" t="s">
        <v>10</v>
      </c>
      <c r="E68" s="24" t="s">
        <v>21</v>
      </c>
      <c r="F68" s="18">
        <v>15.1808</v>
      </c>
      <c r="G68" s="19">
        <v>9.7044999999999995</v>
      </c>
      <c r="H68" s="20">
        <v>2.6509999999999998</v>
      </c>
      <c r="I68" s="21">
        <v>814.55730000000005</v>
      </c>
      <c r="J68" s="20">
        <v>531.53909999999996</v>
      </c>
      <c r="K68" s="20">
        <v>144.98150000000001</v>
      </c>
    </row>
    <row r="69" spans="1:11" ht="15" customHeight="1" x14ac:dyDescent="0.2">
      <c r="A69" s="22" t="s">
        <v>77</v>
      </c>
      <c r="B69" s="23" t="s">
        <v>8</v>
      </c>
      <c r="C69" s="23" t="s">
        <v>9</v>
      </c>
      <c r="D69" s="24" t="s">
        <v>20</v>
      </c>
      <c r="E69" s="24" t="s">
        <v>21</v>
      </c>
      <c r="F69" s="18">
        <v>18.2471</v>
      </c>
      <c r="G69" s="19">
        <v>19.903099999999998</v>
      </c>
      <c r="H69" s="20">
        <v>8.7614000000000001</v>
      </c>
      <c r="I69" s="21">
        <v>989.38980000000004</v>
      </c>
      <c r="J69" s="20">
        <v>1044.1582000000001</v>
      </c>
      <c r="K69" s="20">
        <v>387.44209999999998</v>
      </c>
    </row>
    <row r="70" spans="1:11" ht="15" customHeight="1" x14ac:dyDescent="0.2">
      <c r="A70" s="22" t="s">
        <v>78</v>
      </c>
      <c r="B70" s="23" t="s">
        <v>8</v>
      </c>
      <c r="C70" s="23" t="s">
        <v>9</v>
      </c>
      <c r="D70" s="24" t="s">
        <v>20</v>
      </c>
      <c r="E70" s="24" t="s">
        <v>21</v>
      </c>
      <c r="F70" s="18">
        <v>13.7898</v>
      </c>
      <c r="G70" s="19">
        <v>10.6778</v>
      </c>
      <c r="H70" s="20">
        <v>5.2233000000000001</v>
      </c>
      <c r="I70" s="21">
        <v>726.86360000000002</v>
      </c>
      <c r="J70" s="20">
        <v>563.28449999999998</v>
      </c>
      <c r="K70" s="20">
        <v>268.45999999999998</v>
      </c>
    </row>
    <row r="71" spans="1:11" ht="15" customHeight="1" x14ac:dyDescent="0.2">
      <c r="A71" s="22" t="s">
        <v>79</v>
      </c>
      <c r="B71" s="23" t="s">
        <v>8</v>
      </c>
      <c r="C71" s="23" t="s">
        <v>9</v>
      </c>
      <c r="D71" s="24" t="s">
        <v>10</v>
      </c>
      <c r="E71" s="24" t="s">
        <v>21</v>
      </c>
      <c r="F71" s="18"/>
      <c r="G71" s="19"/>
      <c r="H71" s="20"/>
      <c r="I71" s="21"/>
      <c r="J71" s="20"/>
      <c r="K71" s="20"/>
    </row>
    <row r="72" spans="1:11" ht="15" customHeight="1" x14ac:dyDescent="0.2">
      <c r="A72" s="22" t="s">
        <v>80</v>
      </c>
      <c r="B72" s="23" t="s">
        <v>8</v>
      </c>
      <c r="C72" s="23" t="s">
        <v>9</v>
      </c>
      <c r="D72" s="24" t="s">
        <v>20</v>
      </c>
      <c r="E72" s="24" t="s">
        <v>24</v>
      </c>
      <c r="F72" s="18">
        <v>29.590800000000002</v>
      </c>
      <c r="G72" s="19">
        <v>20.845300000000002</v>
      </c>
      <c r="H72" s="20">
        <v>11.449400000000001</v>
      </c>
      <c r="I72" s="21">
        <v>1741.4848</v>
      </c>
      <c r="J72" s="20">
        <v>1127.5655999999999</v>
      </c>
      <c r="K72" s="20">
        <v>585.96109999999999</v>
      </c>
    </row>
    <row r="73" spans="1:11" ht="15" customHeight="1" x14ac:dyDescent="0.2">
      <c r="A73" s="22" t="s">
        <v>81</v>
      </c>
      <c r="B73" s="23" t="s">
        <v>8</v>
      </c>
      <c r="C73" s="23" t="s">
        <v>9</v>
      </c>
      <c r="D73" s="24" t="s">
        <v>64</v>
      </c>
      <c r="E73" s="24" t="s">
        <v>42</v>
      </c>
      <c r="F73" s="18">
        <v>0.72840000000000005</v>
      </c>
      <c r="G73" s="19"/>
      <c r="H73" s="20"/>
      <c r="I73" s="21">
        <v>51.0182</v>
      </c>
      <c r="J73" s="20"/>
      <c r="K73" s="20"/>
    </row>
    <row r="74" spans="1:11" ht="15" customHeight="1" x14ac:dyDescent="0.2">
      <c r="A74" s="22" t="s">
        <v>82</v>
      </c>
      <c r="B74" s="23" t="s">
        <v>8</v>
      </c>
      <c r="C74" s="23" t="s">
        <v>9</v>
      </c>
      <c r="D74" s="24" t="s">
        <v>30</v>
      </c>
      <c r="E74" s="24" t="s">
        <v>68</v>
      </c>
      <c r="F74" s="18">
        <v>2.0455000000000001</v>
      </c>
      <c r="G74" s="19">
        <v>0.30070000000000002</v>
      </c>
      <c r="H74" s="20">
        <v>9.6000000000000002E-2</v>
      </c>
      <c r="I74" s="21">
        <v>81.869600000000005</v>
      </c>
      <c r="J74" s="20">
        <v>11.870100000000001</v>
      </c>
      <c r="K74" s="20">
        <v>3.7711999999999999</v>
      </c>
    </row>
    <row r="75" spans="1:11" ht="14.25" customHeight="1" x14ac:dyDescent="0.2">
      <c r="A75" s="25" t="s">
        <v>719</v>
      </c>
      <c r="B75" s="4" t="s">
        <v>5</v>
      </c>
      <c r="C75" s="4"/>
      <c r="D75" s="5"/>
      <c r="E75" s="5"/>
      <c r="F75" s="10">
        <v>1.5390999999999999</v>
      </c>
      <c r="G75" s="11">
        <v>2.0581</v>
      </c>
      <c r="H75" s="12">
        <v>0.68220000000000003</v>
      </c>
      <c r="I75" s="13">
        <v>71.357399999999998</v>
      </c>
      <c r="J75" s="12">
        <v>96.8429</v>
      </c>
      <c r="K75" s="12">
        <v>27.710899999999999</v>
      </c>
    </row>
    <row r="76" spans="1:11" ht="15" customHeight="1" x14ac:dyDescent="0.2">
      <c r="A76" s="14" t="s">
        <v>836</v>
      </c>
      <c r="B76" s="15" t="s">
        <v>6</v>
      </c>
      <c r="C76" s="16"/>
      <c r="D76" s="17"/>
      <c r="E76" s="17"/>
      <c r="F76" s="18"/>
      <c r="G76" s="19"/>
      <c r="H76" s="20"/>
      <c r="I76" s="21"/>
      <c r="J76" s="20"/>
      <c r="K76" s="20"/>
    </row>
    <row r="77" spans="1:11" ht="15" customHeight="1" x14ac:dyDescent="0.2">
      <c r="A77" s="22" t="s">
        <v>83</v>
      </c>
      <c r="B77" s="23" t="s">
        <v>8</v>
      </c>
      <c r="C77" s="23" t="s">
        <v>9</v>
      </c>
      <c r="D77" s="24" t="s">
        <v>10</v>
      </c>
      <c r="E77" s="24" t="s">
        <v>84</v>
      </c>
      <c r="F77" s="18"/>
      <c r="G77" s="19"/>
      <c r="H77" s="20"/>
      <c r="I77" s="21"/>
      <c r="J77" s="20"/>
      <c r="K77" s="20"/>
    </row>
    <row r="78" spans="1:11" ht="15" customHeight="1" x14ac:dyDescent="0.2">
      <c r="A78" s="14" t="s">
        <v>837</v>
      </c>
      <c r="B78" s="15" t="s">
        <v>6</v>
      </c>
      <c r="C78" s="16"/>
      <c r="D78" s="17"/>
      <c r="E78" s="17"/>
      <c r="F78" s="18">
        <v>1.5390999999999999</v>
      </c>
      <c r="G78" s="19">
        <v>2.0581</v>
      </c>
      <c r="H78" s="20">
        <v>0.68220000000000003</v>
      </c>
      <c r="I78" s="21">
        <v>71.357399999999998</v>
      </c>
      <c r="J78" s="20">
        <v>96.8429</v>
      </c>
      <c r="K78" s="20">
        <v>27.710899999999999</v>
      </c>
    </row>
    <row r="79" spans="1:11" ht="15" customHeight="1" x14ac:dyDescent="0.2">
      <c r="A79" s="22" t="s">
        <v>85</v>
      </c>
      <c r="B79" s="23" t="s">
        <v>8</v>
      </c>
      <c r="C79" s="23" t="s">
        <v>9</v>
      </c>
      <c r="D79" s="24" t="s">
        <v>10</v>
      </c>
      <c r="E79" s="24" t="s">
        <v>24</v>
      </c>
      <c r="F79" s="18">
        <v>1.0717000000000001</v>
      </c>
      <c r="G79" s="19">
        <v>1.6845000000000001</v>
      </c>
      <c r="H79" s="20">
        <v>0.2092</v>
      </c>
      <c r="I79" s="21">
        <v>53.428199999999997</v>
      </c>
      <c r="J79" s="20">
        <v>83.401399999999995</v>
      </c>
      <c r="K79" s="20">
        <v>9.5612999999999992</v>
      </c>
    </row>
    <row r="80" spans="1:11" ht="15" customHeight="1" x14ac:dyDescent="0.2">
      <c r="A80" s="22" t="s">
        <v>86</v>
      </c>
      <c r="B80" s="23" t="s">
        <v>8</v>
      </c>
      <c r="C80" s="23" t="s">
        <v>9</v>
      </c>
      <c r="D80" s="24" t="s">
        <v>10</v>
      </c>
      <c r="E80" s="24" t="s">
        <v>42</v>
      </c>
      <c r="F80" s="18">
        <v>0.46760000000000002</v>
      </c>
      <c r="G80" s="19">
        <v>0.37340000000000001</v>
      </c>
      <c r="H80" s="20">
        <v>0.47289999999999999</v>
      </c>
      <c r="I80" s="21">
        <v>17.929200000000002</v>
      </c>
      <c r="J80" s="20">
        <v>13.441700000000001</v>
      </c>
      <c r="K80" s="20">
        <v>18.149699999999999</v>
      </c>
    </row>
    <row r="81" spans="1:11" ht="14.25" customHeight="1" x14ac:dyDescent="0.2">
      <c r="A81" s="25" t="s">
        <v>720</v>
      </c>
      <c r="B81" s="4" t="s">
        <v>5</v>
      </c>
      <c r="C81" s="4"/>
      <c r="D81" s="5"/>
      <c r="E81" s="5"/>
      <c r="F81" s="10">
        <v>4.4499999999999998E-2</v>
      </c>
      <c r="G81" s="11">
        <v>6.2E-2</v>
      </c>
      <c r="H81" s="12"/>
      <c r="I81" s="13">
        <v>0.36759999999999998</v>
      </c>
      <c r="J81" s="12">
        <v>0.48380000000000001</v>
      </c>
      <c r="K81" s="12"/>
    </row>
    <row r="82" spans="1:11" ht="15" customHeight="1" x14ac:dyDescent="0.2">
      <c r="A82" s="14" t="s">
        <v>838</v>
      </c>
      <c r="B82" s="15" t="s">
        <v>6</v>
      </c>
      <c r="C82" s="16"/>
      <c r="D82" s="17"/>
      <c r="E82" s="17"/>
      <c r="F82" s="18">
        <v>4.4499999999999998E-2</v>
      </c>
      <c r="G82" s="19">
        <v>6.2E-2</v>
      </c>
      <c r="H82" s="20"/>
      <c r="I82" s="21">
        <v>0.36759999999999998</v>
      </c>
      <c r="J82" s="20">
        <v>0.48380000000000001</v>
      </c>
      <c r="K82" s="20"/>
    </row>
    <row r="83" spans="1:11" ht="15" customHeight="1" x14ac:dyDescent="0.2">
      <c r="A83" s="22" t="s">
        <v>87</v>
      </c>
      <c r="B83" s="23" t="s">
        <v>8</v>
      </c>
      <c r="C83" s="23" t="s">
        <v>9</v>
      </c>
      <c r="D83" s="24" t="s">
        <v>10</v>
      </c>
      <c r="E83" s="24" t="s">
        <v>11</v>
      </c>
      <c r="F83" s="18">
        <v>4.4499999999999998E-2</v>
      </c>
      <c r="G83" s="19">
        <v>6.2E-2</v>
      </c>
      <c r="H83" s="20"/>
      <c r="I83" s="21">
        <v>0.36759999999999998</v>
      </c>
      <c r="J83" s="20">
        <v>0.48380000000000001</v>
      </c>
      <c r="K83" s="20"/>
    </row>
    <row r="84" spans="1:11" ht="14.25" customHeight="1" x14ac:dyDescent="0.2">
      <c r="A84" s="25" t="s">
        <v>721</v>
      </c>
      <c r="B84" s="4" t="s">
        <v>5</v>
      </c>
      <c r="C84" s="4"/>
      <c r="D84" s="5"/>
      <c r="E84" s="5"/>
      <c r="F84" s="10">
        <v>11.963200000000001</v>
      </c>
      <c r="G84" s="11">
        <v>18.136199999999999</v>
      </c>
      <c r="H84" s="12">
        <v>9.0266999999999999</v>
      </c>
      <c r="I84" s="13">
        <v>603.27629999999999</v>
      </c>
      <c r="J84" s="12">
        <v>937.45190000000002</v>
      </c>
      <c r="K84" s="12">
        <v>454.77429999999998</v>
      </c>
    </row>
    <row r="85" spans="1:11" ht="15" customHeight="1" x14ac:dyDescent="0.2">
      <c r="A85" s="14" t="s">
        <v>839</v>
      </c>
      <c r="B85" s="15" t="s">
        <v>6</v>
      </c>
      <c r="C85" s="16"/>
      <c r="D85" s="17"/>
      <c r="E85" s="17"/>
      <c r="F85" s="18">
        <v>3.3401000000000001</v>
      </c>
      <c r="G85" s="19">
        <v>5.1974</v>
      </c>
      <c r="H85" s="20">
        <v>3.7094999999999998</v>
      </c>
      <c r="I85" s="21">
        <v>168.65979999999999</v>
      </c>
      <c r="J85" s="20">
        <v>278.62639999999999</v>
      </c>
      <c r="K85" s="20">
        <v>222.0746</v>
      </c>
    </row>
    <row r="86" spans="1:11" ht="15" customHeight="1" x14ac:dyDescent="0.2">
      <c r="A86" s="22" t="s">
        <v>89</v>
      </c>
      <c r="B86" s="23" t="s">
        <v>8</v>
      </c>
      <c r="C86" s="23" t="s">
        <v>9</v>
      </c>
      <c r="D86" s="24" t="s">
        <v>20</v>
      </c>
      <c r="E86" s="24" t="s">
        <v>42</v>
      </c>
      <c r="F86" s="18"/>
      <c r="G86" s="19"/>
      <c r="H86" s="20"/>
      <c r="I86" s="21"/>
      <c r="J86" s="20"/>
      <c r="K86" s="20"/>
    </row>
    <row r="87" spans="1:11" ht="15" customHeight="1" x14ac:dyDescent="0.2">
      <c r="A87" s="22" t="s">
        <v>90</v>
      </c>
      <c r="B87" s="23" t="s">
        <v>8</v>
      </c>
      <c r="C87" s="23" t="s">
        <v>9</v>
      </c>
      <c r="D87" s="24" t="s">
        <v>10</v>
      </c>
      <c r="E87" s="24" t="s">
        <v>42</v>
      </c>
      <c r="F87" s="18">
        <v>3.3401000000000001</v>
      </c>
      <c r="G87" s="19">
        <v>5.1974</v>
      </c>
      <c r="H87" s="20">
        <v>3.7094999999999998</v>
      </c>
      <c r="I87" s="21">
        <v>168.65979999999999</v>
      </c>
      <c r="J87" s="20">
        <v>278.62639999999999</v>
      </c>
      <c r="K87" s="20">
        <v>222.0746</v>
      </c>
    </row>
    <row r="88" spans="1:11" ht="15" customHeight="1" x14ac:dyDescent="0.2">
      <c r="A88" s="14" t="s">
        <v>840</v>
      </c>
      <c r="B88" s="15" t="s">
        <v>6</v>
      </c>
      <c r="C88" s="16"/>
      <c r="D88" s="17"/>
      <c r="E88" s="17"/>
      <c r="F88" s="18">
        <v>8.6231000000000009</v>
      </c>
      <c r="G88" s="19">
        <v>12.938800000000001</v>
      </c>
      <c r="H88" s="20">
        <v>5.3171999999999997</v>
      </c>
      <c r="I88" s="21">
        <v>434.61660000000001</v>
      </c>
      <c r="J88" s="20">
        <v>658.82550000000003</v>
      </c>
      <c r="K88" s="20">
        <v>232.69980000000001</v>
      </c>
    </row>
    <row r="89" spans="1:11" ht="15" customHeight="1" x14ac:dyDescent="0.2">
      <c r="A89" s="22" t="s">
        <v>91</v>
      </c>
      <c r="B89" s="23" t="s">
        <v>8</v>
      </c>
      <c r="C89" s="23" t="s">
        <v>9</v>
      </c>
      <c r="D89" s="24" t="s">
        <v>30</v>
      </c>
      <c r="E89" s="24" t="s">
        <v>24</v>
      </c>
      <c r="F89" s="18">
        <v>1.2582</v>
      </c>
      <c r="G89" s="19">
        <v>4.4390999999999998</v>
      </c>
      <c r="H89" s="20">
        <v>0.70909999999999995</v>
      </c>
      <c r="I89" s="21">
        <v>67.526600000000002</v>
      </c>
      <c r="J89" s="20">
        <v>226.15649999999999</v>
      </c>
      <c r="K89" s="20">
        <v>33.759099999999997</v>
      </c>
    </row>
    <row r="90" spans="1:11" ht="15" customHeight="1" x14ac:dyDescent="0.2">
      <c r="A90" s="22" t="s">
        <v>92</v>
      </c>
      <c r="B90" s="23" t="s">
        <v>8</v>
      </c>
      <c r="C90" s="23" t="s">
        <v>9</v>
      </c>
      <c r="D90" s="24" t="s">
        <v>30</v>
      </c>
      <c r="E90" s="24" t="s">
        <v>24</v>
      </c>
      <c r="F90" s="18">
        <v>4.5986000000000002</v>
      </c>
      <c r="G90" s="19">
        <v>6.1303000000000001</v>
      </c>
      <c r="H90" s="20">
        <v>2.8555999999999999</v>
      </c>
      <c r="I90" s="21">
        <v>228.69929999999999</v>
      </c>
      <c r="J90" s="20">
        <v>310.51369999999997</v>
      </c>
      <c r="K90" s="20">
        <v>123.6022</v>
      </c>
    </row>
    <row r="91" spans="1:11" ht="15" customHeight="1" x14ac:dyDescent="0.2">
      <c r="A91" s="22" t="s">
        <v>93</v>
      </c>
      <c r="B91" s="23" t="s">
        <v>8</v>
      </c>
      <c r="C91" s="23" t="s">
        <v>9</v>
      </c>
      <c r="D91" s="24" t="s">
        <v>30</v>
      </c>
      <c r="E91" s="24" t="s">
        <v>42</v>
      </c>
      <c r="F91" s="18">
        <v>0.94640000000000002</v>
      </c>
      <c r="G91" s="19">
        <v>1.6005</v>
      </c>
      <c r="H91" s="20">
        <v>1.0179</v>
      </c>
      <c r="I91" s="21">
        <v>54.868499999999997</v>
      </c>
      <c r="J91" s="20">
        <v>87.027500000000003</v>
      </c>
      <c r="K91" s="20">
        <v>38.080399999999997</v>
      </c>
    </row>
    <row r="92" spans="1:11" ht="15" customHeight="1" x14ac:dyDescent="0.2">
      <c r="A92" s="22" t="s">
        <v>94</v>
      </c>
      <c r="B92" s="23" t="s">
        <v>8</v>
      </c>
      <c r="C92" s="23" t="s">
        <v>9</v>
      </c>
      <c r="D92" s="24" t="s">
        <v>20</v>
      </c>
      <c r="E92" s="24" t="s">
        <v>42</v>
      </c>
      <c r="F92" s="18">
        <v>1.8199000000000001</v>
      </c>
      <c r="G92" s="19">
        <v>0.76910000000000001</v>
      </c>
      <c r="H92" s="20">
        <v>0.73480000000000001</v>
      </c>
      <c r="I92" s="21">
        <v>83.522300000000001</v>
      </c>
      <c r="J92" s="20">
        <v>35.127499999999998</v>
      </c>
      <c r="K92" s="20">
        <v>37.258200000000002</v>
      </c>
    </row>
    <row r="93" spans="1:11" ht="14.25" customHeight="1" x14ac:dyDescent="0.2">
      <c r="A93" s="25" t="s">
        <v>722</v>
      </c>
      <c r="B93" s="4" t="s">
        <v>5</v>
      </c>
      <c r="C93" s="4"/>
      <c r="D93" s="5"/>
      <c r="E93" s="5"/>
      <c r="F93" s="10"/>
      <c r="G93" s="11">
        <v>13.1921</v>
      </c>
      <c r="H93" s="12">
        <v>52.811100000000003</v>
      </c>
      <c r="I93" s="13"/>
      <c r="J93" s="12">
        <v>565.53909999999996</v>
      </c>
      <c r="K93" s="12">
        <v>2091.2260999999999</v>
      </c>
    </row>
    <row r="94" spans="1:11" ht="15" customHeight="1" x14ac:dyDescent="0.2">
      <c r="A94" s="14" t="s">
        <v>841</v>
      </c>
      <c r="B94" s="15" t="s">
        <v>6</v>
      </c>
      <c r="C94" s="16"/>
      <c r="D94" s="17"/>
      <c r="E94" s="17"/>
      <c r="F94" s="18"/>
      <c r="G94" s="19">
        <v>13.1921</v>
      </c>
      <c r="H94" s="20">
        <v>52.811100000000003</v>
      </c>
      <c r="I94" s="21"/>
      <c r="J94" s="20">
        <v>565.53909999999996</v>
      </c>
      <c r="K94" s="20">
        <v>2091.2260999999999</v>
      </c>
    </row>
    <row r="95" spans="1:11" ht="15" customHeight="1" x14ac:dyDescent="0.2">
      <c r="A95" s="22" t="s">
        <v>95</v>
      </c>
      <c r="B95" s="23" t="s">
        <v>8</v>
      </c>
      <c r="C95" s="23" t="s">
        <v>9</v>
      </c>
      <c r="D95" s="24" t="s">
        <v>30</v>
      </c>
      <c r="E95" s="24" t="s">
        <v>24</v>
      </c>
      <c r="F95" s="18"/>
      <c r="G95" s="19">
        <v>10.5616</v>
      </c>
      <c r="H95" s="20">
        <v>42.6479</v>
      </c>
      <c r="I95" s="21"/>
      <c r="J95" s="20">
        <v>483.39569999999998</v>
      </c>
      <c r="K95" s="20">
        <v>1689.356</v>
      </c>
    </row>
    <row r="96" spans="1:11" ht="15" customHeight="1" x14ac:dyDescent="0.2">
      <c r="A96" s="22" t="s">
        <v>96</v>
      </c>
      <c r="B96" s="23" t="s">
        <v>8</v>
      </c>
      <c r="C96" s="23" t="s">
        <v>9</v>
      </c>
      <c r="D96" s="24" t="s">
        <v>30</v>
      </c>
      <c r="E96" s="24" t="s">
        <v>15</v>
      </c>
      <c r="F96" s="18"/>
      <c r="G96" s="19">
        <v>2.0855999999999999</v>
      </c>
      <c r="H96" s="20">
        <v>2.5316000000000001</v>
      </c>
      <c r="I96" s="21"/>
      <c r="J96" s="20">
        <v>61.262700000000002</v>
      </c>
      <c r="K96" s="20">
        <v>71.165300000000002</v>
      </c>
    </row>
    <row r="97" spans="1:11" ht="15" customHeight="1" x14ac:dyDescent="0.2">
      <c r="A97" s="22" t="s">
        <v>97</v>
      </c>
      <c r="B97" s="23" t="s">
        <v>8</v>
      </c>
      <c r="C97" s="23" t="s">
        <v>9</v>
      </c>
      <c r="D97" s="24" t="s">
        <v>30</v>
      </c>
      <c r="E97" s="24" t="s">
        <v>42</v>
      </c>
      <c r="F97" s="18"/>
      <c r="G97" s="19">
        <v>0.54479999999999995</v>
      </c>
      <c r="H97" s="20">
        <v>7.6315999999999997</v>
      </c>
      <c r="I97" s="21"/>
      <c r="J97" s="20">
        <v>20.880700000000001</v>
      </c>
      <c r="K97" s="20">
        <v>330.70479999999998</v>
      </c>
    </row>
    <row r="98" spans="1:11" ht="14.25" customHeight="1" x14ac:dyDescent="0.2">
      <c r="A98" s="25" t="s">
        <v>723</v>
      </c>
      <c r="B98" s="4" t="s">
        <v>5</v>
      </c>
      <c r="C98" s="4"/>
      <c r="D98" s="5"/>
      <c r="E98" s="5"/>
      <c r="F98" s="10">
        <v>3.1665000000000001</v>
      </c>
      <c r="G98" s="11">
        <v>2.1888000000000001</v>
      </c>
      <c r="H98" s="12">
        <v>0.46289999999999998</v>
      </c>
      <c r="I98" s="13">
        <v>65.203199999999995</v>
      </c>
      <c r="J98" s="12">
        <v>50.370399999999997</v>
      </c>
      <c r="K98" s="12">
        <v>10.166600000000001</v>
      </c>
    </row>
    <row r="99" spans="1:11" ht="15" customHeight="1" x14ac:dyDescent="0.2">
      <c r="A99" s="14" t="s">
        <v>842</v>
      </c>
      <c r="B99" s="15" t="s">
        <v>6</v>
      </c>
      <c r="C99" s="16"/>
      <c r="D99" s="17"/>
      <c r="E99" s="17"/>
      <c r="F99" s="18">
        <v>3.1665000000000001</v>
      </c>
      <c r="G99" s="19">
        <v>2.1888000000000001</v>
      </c>
      <c r="H99" s="20">
        <v>0.46289999999999998</v>
      </c>
      <c r="I99" s="21">
        <v>65.203199999999995</v>
      </c>
      <c r="J99" s="20">
        <v>50.370399999999997</v>
      </c>
      <c r="K99" s="20">
        <v>10.166600000000001</v>
      </c>
    </row>
    <row r="100" spans="1:11" ht="15" customHeight="1" x14ac:dyDescent="0.2">
      <c r="A100" s="22" t="s">
        <v>98</v>
      </c>
      <c r="B100" s="23" t="s">
        <v>8</v>
      </c>
      <c r="C100" s="23" t="s">
        <v>9</v>
      </c>
      <c r="D100" s="24" t="s">
        <v>64</v>
      </c>
      <c r="E100" s="24" t="s">
        <v>99</v>
      </c>
      <c r="F100" s="18"/>
      <c r="G100" s="19">
        <v>1.5012000000000001</v>
      </c>
      <c r="H100" s="20">
        <v>0.18310000000000001</v>
      </c>
      <c r="I100" s="21"/>
      <c r="J100" s="20">
        <v>36.194499999999998</v>
      </c>
      <c r="K100" s="20">
        <v>4.9927999999999999</v>
      </c>
    </row>
    <row r="101" spans="1:11" ht="15" customHeight="1" x14ac:dyDescent="0.2">
      <c r="A101" s="22" t="s">
        <v>100</v>
      </c>
      <c r="B101" s="23" t="s">
        <v>8</v>
      </c>
      <c r="C101" s="23" t="s">
        <v>9</v>
      </c>
      <c r="D101" s="24" t="s">
        <v>30</v>
      </c>
      <c r="E101" s="24" t="s">
        <v>42</v>
      </c>
      <c r="F101" s="18">
        <v>3.1665000000000001</v>
      </c>
      <c r="G101" s="19">
        <v>0.6875</v>
      </c>
      <c r="H101" s="20">
        <v>0.27989999999999998</v>
      </c>
      <c r="I101" s="21">
        <v>65.203199999999995</v>
      </c>
      <c r="J101" s="20">
        <v>14.1759</v>
      </c>
      <c r="K101" s="20">
        <v>5.1737000000000002</v>
      </c>
    </row>
    <row r="102" spans="1:11" ht="14.25" customHeight="1" x14ac:dyDescent="0.2">
      <c r="A102" s="25" t="s">
        <v>724</v>
      </c>
      <c r="B102" s="4" t="s">
        <v>5</v>
      </c>
      <c r="C102" s="4"/>
      <c r="D102" s="5"/>
      <c r="E102" s="5"/>
      <c r="F102" s="10"/>
      <c r="G102" s="11"/>
      <c r="H102" s="12">
        <v>5.57E-2</v>
      </c>
      <c r="I102" s="13"/>
      <c r="J102" s="12"/>
      <c r="K102" s="12">
        <v>1.7425999999999999</v>
      </c>
    </row>
    <row r="103" spans="1:11" ht="15" customHeight="1" x14ac:dyDescent="0.2">
      <c r="A103" s="14" t="s">
        <v>843</v>
      </c>
      <c r="B103" s="15" t="s">
        <v>6</v>
      </c>
      <c r="C103" s="16"/>
      <c r="D103" s="17"/>
      <c r="E103" s="17"/>
      <c r="F103" s="18"/>
      <c r="G103" s="19"/>
      <c r="H103" s="20">
        <v>5.57E-2</v>
      </c>
      <c r="I103" s="21"/>
      <c r="J103" s="20"/>
      <c r="K103" s="20">
        <v>1.7425999999999999</v>
      </c>
    </row>
    <row r="104" spans="1:11" ht="15" customHeight="1" x14ac:dyDescent="0.2">
      <c r="A104" s="22" t="s">
        <v>101</v>
      </c>
      <c r="B104" s="23" t="s">
        <v>8</v>
      </c>
      <c r="C104" s="23" t="s">
        <v>9</v>
      </c>
      <c r="D104" s="24" t="s">
        <v>20</v>
      </c>
      <c r="E104" s="24" t="s">
        <v>42</v>
      </c>
      <c r="F104" s="18"/>
      <c r="G104" s="19"/>
      <c r="H104" s="20">
        <v>5.57E-2</v>
      </c>
      <c r="I104" s="21"/>
      <c r="J104" s="20"/>
      <c r="K104" s="20">
        <v>1.7425999999999999</v>
      </c>
    </row>
    <row r="105" spans="1:11" ht="14.25" customHeight="1" x14ac:dyDescent="0.2">
      <c r="A105" s="25" t="s">
        <v>725</v>
      </c>
      <c r="B105" s="4" t="s">
        <v>5</v>
      </c>
      <c r="C105" s="4"/>
      <c r="D105" s="5"/>
      <c r="E105" s="5"/>
      <c r="F105" s="10">
        <v>471.6447</v>
      </c>
      <c r="G105" s="11">
        <v>448.00150000000002</v>
      </c>
      <c r="H105" s="12">
        <v>276.14030000000002</v>
      </c>
      <c r="I105" s="13">
        <v>13724.156499999999</v>
      </c>
      <c r="J105" s="12">
        <v>13181.351199999999</v>
      </c>
      <c r="K105" s="12">
        <v>8823.5241000000005</v>
      </c>
    </row>
    <row r="106" spans="1:11" ht="15" customHeight="1" x14ac:dyDescent="0.2">
      <c r="A106" s="14" t="s">
        <v>844</v>
      </c>
      <c r="B106" s="15" t="s">
        <v>6</v>
      </c>
      <c r="C106" s="16"/>
      <c r="D106" s="17"/>
      <c r="E106" s="17"/>
      <c r="F106" s="18">
        <v>471.6447</v>
      </c>
      <c r="G106" s="19">
        <v>448.00150000000002</v>
      </c>
      <c r="H106" s="20">
        <v>276.14030000000002</v>
      </c>
      <c r="I106" s="21">
        <v>13724.156499999999</v>
      </c>
      <c r="J106" s="20">
        <v>13181.351199999999</v>
      </c>
      <c r="K106" s="20">
        <v>8823.5241000000005</v>
      </c>
    </row>
    <row r="107" spans="1:11" ht="15" customHeight="1" x14ac:dyDescent="0.2">
      <c r="A107" s="22" t="s">
        <v>104</v>
      </c>
      <c r="B107" s="23" t="s">
        <v>8</v>
      </c>
      <c r="C107" s="23" t="s">
        <v>9</v>
      </c>
      <c r="D107" s="24" t="s">
        <v>20</v>
      </c>
      <c r="E107" s="24" t="s">
        <v>105</v>
      </c>
      <c r="F107" s="18">
        <v>209.29769999999999</v>
      </c>
      <c r="G107" s="19">
        <v>236.50559999999999</v>
      </c>
      <c r="H107" s="20">
        <v>198.2927</v>
      </c>
      <c r="I107" s="21">
        <v>7336.5478999999996</v>
      </c>
      <c r="J107" s="20">
        <v>8103.1085000000003</v>
      </c>
      <c r="K107" s="20">
        <v>7048.5825999999997</v>
      </c>
    </row>
    <row r="108" spans="1:11" ht="15" customHeight="1" x14ac:dyDescent="0.2">
      <c r="A108" s="22" t="s">
        <v>106</v>
      </c>
      <c r="B108" s="23" t="s">
        <v>8</v>
      </c>
      <c r="C108" s="23" t="s">
        <v>9</v>
      </c>
      <c r="D108" s="24" t="s">
        <v>20</v>
      </c>
      <c r="E108" s="24" t="s">
        <v>105</v>
      </c>
      <c r="F108" s="18">
        <v>2.7799999999999998E-2</v>
      </c>
      <c r="G108" s="19">
        <v>4.5999999999999999E-3</v>
      </c>
      <c r="H108" s="20"/>
      <c r="I108" s="21">
        <v>1.2</v>
      </c>
      <c r="J108" s="20">
        <v>0.2</v>
      </c>
      <c r="K108" s="20"/>
    </row>
    <row r="109" spans="1:11" ht="15" customHeight="1" x14ac:dyDescent="0.2">
      <c r="A109" s="22" t="s">
        <v>107</v>
      </c>
      <c r="B109" s="23" t="s">
        <v>8</v>
      </c>
      <c r="C109" s="23" t="s">
        <v>9</v>
      </c>
      <c r="D109" s="24" t="s">
        <v>20</v>
      </c>
      <c r="E109" s="24" t="s">
        <v>11</v>
      </c>
      <c r="F109" s="18">
        <v>27.777100000000001</v>
      </c>
      <c r="G109" s="19">
        <v>19.717700000000001</v>
      </c>
      <c r="H109" s="20">
        <v>14.4848</v>
      </c>
      <c r="I109" s="21">
        <v>429.91730000000001</v>
      </c>
      <c r="J109" s="20">
        <v>309.96710000000002</v>
      </c>
      <c r="K109" s="20">
        <v>229.3313</v>
      </c>
    </row>
    <row r="110" spans="1:11" ht="15" customHeight="1" x14ac:dyDescent="0.2">
      <c r="A110" s="22" t="s">
        <v>108</v>
      </c>
      <c r="B110" s="23" t="s">
        <v>8</v>
      </c>
      <c r="C110" s="23" t="s">
        <v>9</v>
      </c>
      <c r="D110" s="24" t="s">
        <v>64</v>
      </c>
      <c r="E110" s="24" t="s">
        <v>11</v>
      </c>
      <c r="F110" s="18">
        <v>40.515599999999999</v>
      </c>
      <c r="G110" s="19">
        <v>34.999099999999999</v>
      </c>
      <c r="H110" s="20">
        <v>5.7746000000000004</v>
      </c>
      <c r="I110" s="21">
        <v>630.63189999999997</v>
      </c>
      <c r="J110" s="20">
        <v>558.36739999999998</v>
      </c>
      <c r="K110" s="20">
        <v>90.998999999999995</v>
      </c>
    </row>
    <row r="111" spans="1:11" ht="15" customHeight="1" x14ac:dyDescent="0.2">
      <c r="A111" s="22" t="s">
        <v>109</v>
      </c>
      <c r="B111" s="23" t="s">
        <v>8</v>
      </c>
      <c r="C111" s="23" t="s">
        <v>9</v>
      </c>
      <c r="D111" s="24" t="s">
        <v>20</v>
      </c>
      <c r="E111" s="24" t="s">
        <v>88</v>
      </c>
      <c r="F111" s="18">
        <v>61.397500000000001</v>
      </c>
      <c r="G111" s="19">
        <v>45.295999999999999</v>
      </c>
      <c r="H111" s="20">
        <v>19.337599999999998</v>
      </c>
      <c r="I111" s="21">
        <v>1027.2618</v>
      </c>
      <c r="J111" s="20">
        <v>758.06629999999996</v>
      </c>
      <c r="K111" s="20">
        <v>328.18349999999998</v>
      </c>
    </row>
    <row r="112" spans="1:11" ht="15" customHeight="1" x14ac:dyDescent="0.2">
      <c r="A112" s="22" t="s">
        <v>110</v>
      </c>
      <c r="B112" s="23" t="s">
        <v>8</v>
      </c>
      <c r="C112" s="23" t="s">
        <v>9</v>
      </c>
      <c r="D112" s="24" t="s">
        <v>20</v>
      </c>
      <c r="E112" s="24" t="s">
        <v>88</v>
      </c>
      <c r="F112" s="18">
        <v>1.03E-2</v>
      </c>
      <c r="G112" s="19">
        <v>1.6999999999999999E-3</v>
      </c>
      <c r="H112" s="20"/>
      <c r="I112" s="21">
        <v>0.21429999999999999</v>
      </c>
      <c r="J112" s="20">
        <v>3.5700000000000003E-2</v>
      </c>
      <c r="K112" s="20"/>
    </row>
    <row r="113" spans="1:11" ht="15" customHeight="1" x14ac:dyDescent="0.2">
      <c r="A113" s="22" t="s">
        <v>111</v>
      </c>
      <c r="B113" s="23" t="s">
        <v>8</v>
      </c>
      <c r="C113" s="23" t="s">
        <v>9</v>
      </c>
      <c r="D113" s="24" t="s">
        <v>69</v>
      </c>
      <c r="E113" s="24" t="s">
        <v>102</v>
      </c>
      <c r="F113" s="18"/>
      <c r="G113" s="19"/>
      <c r="H113" s="20">
        <v>8.3928999999999991</v>
      </c>
      <c r="I113" s="21"/>
      <c r="J113" s="20"/>
      <c r="K113" s="20">
        <v>185.37119999999999</v>
      </c>
    </row>
    <row r="114" spans="1:11" ht="15" customHeight="1" x14ac:dyDescent="0.2">
      <c r="A114" s="22" t="s">
        <v>112</v>
      </c>
      <c r="B114" s="23" t="s">
        <v>8</v>
      </c>
      <c r="C114" s="23" t="s">
        <v>9</v>
      </c>
      <c r="D114" s="24" t="s">
        <v>69</v>
      </c>
      <c r="E114" s="24" t="s">
        <v>37</v>
      </c>
      <c r="F114" s="18">
        <v>11.2281</v>
      </c>
      <c r="G114" s="19">
        <v>7.5716999999999999</v>
      </c>
      <c r="H114" s="20">
        <v>1.9255</v>
      </c>
      <c r="I114" s="21">
        <v>325.11810000000003</v>
      </c>
      <c r="J114" s="20">
        <v>236.1233</v>
      </c>
      <c r="K114" s="20">
        <v>61.869799999999998</v>
      </c>
    </row>
    <row r="115" spans="1:11" ht="15" customHeight="1" x14ac:dyDescent="0.2">
      <c r="A115" s="22" t="s">
        <v>113</v>
      </c>
      <c r="B115" s="23" t="s">
        <v>8</v>
      </c>
      <c r="C115" s="23" t="s">
        <v>9</v>
      </c>
      <c r="D115" s="24" t="s">
        <v>69</v>
      </c>
      <c r="E115" s="24" t="s">
        <v>42</v>
      </c>
      <c r="F115" s="18">
        <v>56.268599999999999</v>
      </c>
      <c r="G115" s="19">
        <v>22.377800000000001</v>
      </c>
      <c r="H115" s="20">
        <v>12.435499999999999</v>
      </c>
      <c r="I115" s="21">
        <v>1799.2518</v>
      </c>
      <c r="J115" s="20">
        <v>721.99059999999997</v>
      </c>
      <c r="K115" s="20">
        <v>385.45190000000002</v>
      </c>
    </row>
    <row r="116" spans="1:11" ht="15" customHeight="1" x14ac:dyDescent="0.2">
      <c r="A116" s="22" t="s">
        <v>114</v>
      </c>
      <c r="B116" s="23" t="s">
        <v>8</v>
      </c>
      <c r="C116" s="23" t="s">
        <v>9</v>
      </c>
      <c r="D116" s="24" t="s">
        <v>10</v>
      </c>
      <c r="E116" s="24" t="s">
        <v>42</v>
      </c>
      <c r="F116" s="18">
        <v>0.64159999999999995</v>
      </c>
      <c r="G116" s="19">
        <v>0.34470000000000001</v>
      </c>
      <c r="H116" s="20"/>
      <c r="I116" s="21">
        <v>14.463900000000001</v>
      </c>
      <c r="J116" s="20">
        <v>7.3648999999999996</v>
      </c>
      <c r="K116" s="20"/>
    </row>
    <row r="117" spans="1:11" ht="15" customHeight="1" x14ac:dyDescent="0.2">
      <c r="A117" s="22" t="s">
        <v>115</v>
      </c>
      <c r="B117" s="23" t="s">
        <v>8</v>
      </c>
      <c r="C117" s="23" t="s">
        <v>9</v>
      </c>
      <c r="D117" s="24" t="s">
        <v>64</v>
      </c>
      <c r="E117" s="24" t="s">
        <v>42</v>
      </c>
      <c r="F117" s="18">
        <v>64.480099999999993</v>
      </c>
      <c r="G117" s="19">
        <v>81.182500000000005</v>
      </c>
      <c r="H117" s="20">
        <v>15.496600000000001</v>
      </c>
      <c r="I117" s="21">
        <v>2159.5493999999999</v>
      </c>
      <c r="J117" s="20">
        <v>2486.1275000000001</v>
      </c>
      <c r="K117" s="20">
        <v>493.73469999999998</v>
      </c>
    </row>
    <row r="118" spans="1:11" ht="14.25" customHeight="1" x14ac:dyDescent="0.2">
      <c r="A118" s="25" t="s">
        <v>726</v>
      </c>
      <c r="B118" s="4" t="s">
        <v>5</v>
      </c>
      <c r="C118" s="4"/>
      <c r="D118" s="5"/>
      <c r="E118" s="5"/>
      <c r="F118" s="10">
        <v>0.22359999999999999</v>
      </c>
      <c r="G118" s="11">
        <v>1.0136000000000001</v>
      </c>
      <c r="H118" s="12">
        <v>1.0572999999999999</v>
      </c>
      <c r="I118" s="13">
        <v>12.2155</v>
      </c>
      <c r="J118" s="12">
        <v>49.151600000000002</v>
      </c>
      <c r="K118" s="12">
        <v>44.717399999999998</v>
      </c>
    </row>
    <row r="119" spans="1:11" ht="15" customHeight="1" x14ac:dyDescent="0.2">
      <c r="A119" s="14" t="s">
        <v>845</v>
      </c>
      <c r="B119" s="15" t="s">
        <v>6</v>
      </c>
      <c r="C119" s="16"/>
      <c r="D119" s="17"/>
      <c r="E119" s="17"/>
      <c r="F119" s="18">
        <v>0.22359999999999999</v>
      </c>
      <c r="G119" s="19">
        <v>1.0136000000000001</v>
      </c>
      <c r="H119" s="20">
        <v>1.0572999999999999</v>
      </c>
      <c r="I119" s="21">
        <v>12.2155</v>
      </c>
      <c r="J119" s="20">
        <v>49.151600000000002</v>
      </c>
      <c r="K119" s="20">
        <v>44.717399999999998</v>
      </c>
    </row>
    <row r="120" spans="1:11" ht="15" customHeight="1" x14ac:dyDescent="0.2">
      <c r="A120" s="22" t="s">
        <v>116</v>
      </c>
      <c r="B120" s="23" t="s">
        <v>8</v>
      </c>
      <c r="C120" s="23" t="s">
        <v>9</v>
      </c>
      <c r="D120" s="24" t="s">
        <v>20</v>
      </c>
      <c r="E120" s="24" t="s">
        <v>21</v>
      </c>
      <c r="F120" s="18"/>
      <c r="G120" s="19"/>
      <c r="H120" s="20">
        <v>0.24490000000000001</v>
      </c>
      <c r="I120" s="21"/>
      <c r="J120" s="20"/>
      <c r="K120" s="20">
        <v>9.7979000000000003</v>
      </c>
    </row>
    <row r="121" spans="1:11" ht="15" customHeight="1" x14ac:dyDescent="0.2">
      <c r="A121" s="22" t="s">
        <v>117</v>
      </c>
      <c r="B121" s="23" t="s">
        <v>8</v>
      </c>
      <c r="C121" s="23" t="s">
        <v>9</v>
      </c>
      <c r="D121" s="24" t="s">
        <v>20</v>
      </c>
      <c r="E121" s="24" t="s">
        <v>21</v>
      </c>
      <c r="F121" s="18">
        <v>0.22359999999999999</v>
      </c>
      <c r="G121" s="19">
        <v>1.0136000000000001</v>
      </c>
      <c r="H121" s="20">
        <v>0.81230000000000002</v>
      </c>
      <c r="I121" s="21">
        <v>12.2155</v>
      </c>
      <c r="J121" s="20">
        <v>49.151600000000002</v>
      </c>
      <c r="K121" s="20">
        <v>34.919499999999999</v>
      </c>
    </row>
    <row r="122" spans="1:11" ht="14.25" customHeight="1" x14ac:dyDescent="0.2">
      <c r="A122" s="25" t="s">
        <v>727</v>
      </c>
      <c r="B122" s="4" t="s">
        <v>5</v>
      </c>
      <c r="C122" s="4"/>
      <c r="D122" s="5"/>
      <c r="E122" s="5"/>
      <c r="F122" s="10">
        <v>113.30880000000001</v>
      </c>
      <c r="G122" s="11">
        <v>81.313699999999997</v>
      </c>
      <c r="H122" s="12">
        <v>48.297400000000003</v>
      </c>
      <c r="I122" s="13">
        <v>1483.433</v>
      </c>
      <c r="J122" s="12">
        <v>1045.7734</v>
      </c>
      <c r="K122" s="12">
        <v>598.3963</v>
      </c>
    </row>
    <row r="123" spans="1:11" ht="15" customHeight="1" x14ac:dyDescent="0.2">
      <c r="A123" s="14" t="s">
        <v>833</v>
      </c>
      <c r="B123" s="15" t="s">
        <v>6</v>
      </c>
      <c r="C123" s="16"/>
      <c r="D123" s="17"/>
      <c r="E123" s="17"/>
      <c r="F123" s="18">
        <v>113.30880000000001</v>
      </c>
      <c r="G123" s="19">
        <v>81.313699999999997</v>
      </c>
      <c r="H123" s="20">
        <v>48.297400000000003</v>
      </c>
      <c r="I123" s="21">
        <v>1483.433</v>
      </c>
      <c r="J123" s="20">
        <v>1045.7734</v>
      </c>
      <c r="K123" s="20">
        <v>598.3963</v>
      </c>
    </row>
    <row r="124" spans="1:11" ht="15" customHeight="1" x14ac:dyDescent="0.2">
      <c r="A124" s="22" t="s">
        <v>120</v>
      </c>
      <c r="B124" s="23" t="s">
        <v>8</v>
      </c>
      <c r="C124" s="23" t="s">
        <v>9</v>
      </c>
      <c r="D124" s="24" t="s">
        <v>10</v>
      </c>
      <c r="E124" s="24" t="s">
        <v>11</v>
      </c>
      <c r="F124" s="18">
        <v>15.0191</v>
      </c>
      <c r="G124" s="19">
        <v>17.616800000000001</v>
      </c>
      <c r="H124" s="20">
        <v>13.700200000000001</v>
      </c>
      <c r="I124" s="21">
        <v>121.4559</v>
      </c>
      <c r="J124" s="20">
        <v>162.24</v>
      </c>
      <c r="K124" s="20">
        <v>126.0534</v>
      </c>
    </row>
    <row r="125" spans="1:11" ht="15" customHeight="1" x14ac:dyDescent="0.2">
      <c r="A125" s="22" t="s">
        <v>121</v>
      </c>
      <c r="B125" s="23" t="s">
        <v>8</v>
      </c>
      <c r="C125" s="23" t="s">
        <v>9</v>
      </c>
      <c r="D125" s="24" t="s">
        <v>10</v>
      </c>
      <c r="E125" s="24" t="s">
        <v>99</v>
      </c>
      <c r="F125" s="18">
        <v>19.776399999999999</v>
      </c>
      <c r="G125" s="19">
        <v>13.798299999999999</v>
      </c>
      <c r="H125" s="20">
        <v>7.5656999999999996</v>
      </c>
      <c r="I125" s="21">
        <v>281.97280000000001</v>
      </c>
      <c r="J125" s="20">
        <v>222.7071</v>
      </c>
      <c r="K125" s="20">
        <v>118.9547</v>
      </c>
    </row>
    <row r="126" spans="1:11" ht="15" customHeight="1" x14ac:dyDescent="0.2">
      <c r="A126" s="22" t="s">
        <v>122</v>
      </c>
      <c r="B126" s="23" t="s">
        <v>8</v>
      </c>
      <c r="C126" s="23" t="s">
        <v>9</v>
      </c>
      <c r="D126" s="24" t="s">
        <v>10</v>
      </c>
      <c r="E126" s="24" t="s">
        <v>123</v>
      </c>
      <c r="F126" s="18">
        <v>41.314100000000003</v>
      </c>
      <c r="G126" s="19">
        <v>32.422600000000003</v>
      </c>
      <c r="H126" s="20">
        <v>18.6829</v>
      </c>
      <c r="I126" s="21">
        <v>549.64080000000001</v>
      </c>
      <c r="J126" s="20">
        <v>416.84789999999998</v>
      </c>
      <c r="K126" s="20">
        <v>241.38910000000001</v>
      </c>
    </row>
    <row r="127" spans="1:11" ht="15" customHeight="1" x14ac:dyDescent="0.2">
      <c r="A127" s="22" t="s">
        <v>124</v>
      </c>
      <c r="B127" s="23" t="s">
        <v>8</v>
      </c>
      <c r="C127" s="23" t="s">
        <v>9</v>
      </c>
      <c r="D127" s="24" t="s">
        <v>30</v>
      </c>
      <c r="E127" s="24" t="s">
        <v>123</v>
      </c>
      <c r="F127" s="18">
        <v>10.5054</v>
      </c>
      <c r="G127" s="19">
        <v>0.496</v>
      </c>
      <c r="H127" s="20"/>
      <c r="I127" s="21">
        <v>168.06010000000001</v>
      </c>
      <c r="J127" s="20">
        <v>9.3780000000000001</v>
      </c>
      <c r="K127" s="20"/>
    </row>
    <row r="128" spans="1:11" ht="15" customHeight="1" x14ac:dyDescent="0.2">
      <c r="A128" s="22" t="s">
        <v>125</v>
      </c>
      <c r="B128" s="23" t="s">
        <v>8</v>
      </c>
      <c r="C128" s="23" t="s">
        <v>9</v>
      </c>
      <c r="D128" s="24" t="s">
        <v>10</v>
      </c>
      <c r="E128" s="24" t="s">
        <v>123</v>
      </c>
      <c r="F128" s="18">
        <v>26.694099999999999</v>
      </c>
      <c r="G128" s="19">
        <v>16.9801</v>
      </c>
      <c r="H128" s="20">
        <v>8.3484999999999996</v>
      </c>
      <c r="I128" s="21">
        <v>362.30340000000001</v>
      </c>
      <c r="J128" s="20">
        <v>234.6001</v>
      </c>
      <c r="K128" s="20">
        <v>111.9991</v>
      </c>
    </row>
    <row r="129" spans="1:11" ht="14.25" customHeight="1" x14ac:dyDescent="0.2">
      <c r="A129" s="25" t="s">
        <v>728</v>
      </c>
      <c r="B129" s="4" t="s">
        <v>5</v>
      </c>
      <c r="C129" s="4"/>
      <c r="D129" s="5"/>
      <c r="E129" s="5"/>
      <c r="F129" s="10">
        <v>0.52039999999999997</v>
      </c>
      <c r="G129" s="11">
        <v>1.6072</v>
      </c>
      <c r="H129" s="12">
        <v>0.16420000000000001</v>
      </c>
      <c r="I129" s="13">
        <v>10.5198</v>
      </c>
      <c r="J129" s="12">
        <v>34.4998</v>
      </c>
      <c r="K129" s="12">
        <v>3.1461000000000001</v>
      </c>
    </row>
    <row r="130" spans="1:11" ht="15" customHeight="1" x14ac:dyDescent="0.2">
      <c r="A130" s="14" t="s">
        <v>126</v>
      </c>
      <c r="B130" s="15" t="s">
        <v>6</v>
      </c>
      <c r="C130" s="16"/>
      <c r="D130" s="17"/>
      <c r="E130" s="17"/>
      <c r="F130" s="18">
        <v>0.52039999999999997</v>
      </c>
      <c r="G130" s="19">
        <v>1.6072</v>
      </c>
      <c r="H130" s="20">
        <v>0.16420000000000001</v>
      </c>
      <c r="I130" s="21">
        <v>10.5198</v>
      </c>
      <c r="J130" s="20">
        <v>34.4998</v>
      </c>
      <c r="K130" s="20">
        <v>3.1461000000000001</v>
      </c>
    </row>
    <row r="131" spans="1:11" ht="15" customHeight="1" x14ac:dyDescent="0.2">
      <c r="A131" s="22" t="s">
        <v>127</v>
      </c>
      <c r="B131" s="23" t="s">
        <v>8</v>
      </c>
      <c r="C131" s="23" t="s">
        <v>9</v>
      </c>
      <c r="D131" s="24" t="s">
        <v>20</v>
      </c>
      <c r="E131" s="24" t="s">
        <v>99</v>
      </c>
      <c r="F131" s="18">
        <v>0.52039999999999997</v>
      </c>
      <c r="G131" s="19">
        <v>1.6072</v>
      </c>
      <c r="H131" s="20">
        <v>0.16420000000000001</v>
      </c>
      <c r="I131" s="21">
        <v>10.5198</v>
      </c>
      <c r="J131" s="20">
        <v>34.4998</v>
      </c>
      <c r="K131" s="20">
        <v>3.1461000000000001</v>
      </c>
    </row>
    <row r="132" spans="1:11" ht="14.25" customHeight="1" x14ac:dyDescent="0.2">
      <c r="A132" s="25" t="s">
        <v>729</v>
      </c>
      <c r="B132" s="4" t="s">
        <v>5</v>
      </c>
      <c r="C132" s="4"/>
      <c r="D132" s="5"/>
      <c r="E132" s="5"/>
      <c r="F132" s="10"/>
      <c r="G132" s="11"/>
      <c r="H132" s="12"/>
      <c r="I132" s="13"/>
      <c r="J132" s="12"/>
      <c r="K132" s="12"/>
    </row>
    <row r="133" spans="1:11" ht="15" customHeight="1" x14ac:dyDescent="0.2">
      <c r="A133" s="14" t="s">
        <v>846</v>
      </c>
      <c r="B133" s="15" t="s">
        <v>6</v>
      </c>
      <c r="C133" s="16"/>
      <c r="D133" s="17"/>
      <c r="E133" s="17"/>
      <c r="F133" s="18"/>
      <c r="G133" s="19"/>
      <c r="H133" s="20"/>
      <c r="I133" s="21"/>
      <c r="J133" s="20"/>
      <c r="K133" s="20"/>
    </row>
    <row r="134" spans="1:11" ht="15" customHeight="1" x14ac:dyDescent="0.2">
      <c r="A134" s="22" t="s">
        <v>128</v>
      </c>
      <c r="B134" s="23" t="s">
        <v>8</v>
      </c>
      <c r="C134" s="23" t="s">
        <v>9</v>
      </c>
      <c r="D134" s="24" t="s">
        <v>20</v>
      </c>
      <c r="E134" s="24" t="s">
        <v>24</v>
      </c>
      <c r="F134" s="18"/>
      <c r="G134" s="19"/>
      <c r="H134" s="20"/>
      <c r="I134" s="21"/>
      <c r="J134" s="20"/>
      <c r="K134" s="20"/>
    </row>
    <row r="135" spans="1:11" ht="14.25" customHeight="1" x14ac:dyDescent="0.2">
      <c r="A135" s="25" t="s">
        <v>730</v>
      </c>
      <c r="B135" s="4" t="s">
        <v>5</v>
      </c>
      <c r="C135" s="4"/>
      <c r="D135" s="5"/>
      <c r="E135" s="5"/>
      <c r="F135" s="10"/>
      <c r="G135" s="11">
        <v>3.7900000000000003E-2</v>
      </c>
      <c r="H135" s="12">
        <v>6.93E-2</v>
      </c>
      <c r="I135" s="13"/>
      <c r="J135" s="12">
        <v>2.3294000000000001</v>
      </c>
      <c r="K135" s="12">
        <v>4.2670000000000003</v>
      </c>
    </row>
    <row r="136" spans="1:11" ht="15" customHeight="1" x14ac:dyDescent="0.2">
      <c r="A136" s="14" t="s">
        <v>847</v>
      </c>
      <c r="B136" s="15" t="s">
        <v>6</v>
      </c>
      <c r="C136" s="16"/>
      <c r="D136" s="17"/>
      <c r="E136" s="17"/>
      <c r="F136" s="18"/>
      <c r="G136" s="19">
        <v>3.7900000000000003E-2</v>
      </c>
      <c r="H136" s="20">
        <v>6.93E-2</v>
      </c>
      <c r="I136" s="21"/>
      <c r="J136" s="20">
        <v>2.3294000000000001</v>
      </c>
      <c r="K136" s="20">
        <v>4.2670000000000003</v>
      </c>
    </row>
    <row r="137" spans="1:11" ht="15" customHeight="1" x14ac:dyDescent="0.2">
      <c r="A137" s="22" t="s">
        <v>129</v>
      </c>
      <c r="B137" s="23" t="s">
        <v>8</v>
      </c>
      <c r="C137" s="23" t="s">
        <v>9</v>
      </c>
      <c r="D137" s="24" t="s">
        <v>20</v>
      </c>
      <c r="E137" s="24" t="s">
        <v>42</v>
      </c>
      <c r="F137" s="18"/>
      <c r="G137" s="19">
        <v>3.7900000000000003E-2</v>
      </c>
      <c r="H137" s="20">
        <v>6.93E-2</v>
      </c>
      <c r="I137" s="21"/>
      <c r="J137" s="20">
        <v>2.3294000000000001</v>
      </c>
      <c r="K137" s="20">
        <v>4.2670000000000003</v>
      </c>
    </row>
    <row r="138" spans="1:11" ht="14.25" customHeight="1" x14ac:dyDescent="0.2">
      <c r="A138" s="25" t="s">
        <v>731</v>
      </c>
      <c r="B138" s="4" t="s">
        <v>5</v>
      </c>
      <c r="C138" s="4"/>
      <c r="D138" s="5"/>
      <c r="E138" s="5"/>
      <c r="F138" s="10">
        <v>36.0259</v>
      </c>
      <c r="G138" s="11">
        <v>55.229399999999998</v>
      </c>
      <c r="H138" s="12">
        <v>85.139799999999994</v>
      </c>
      <c r="I138" s="13">
        <v>1024.5518</v>
      </c>
      <c r="J138" s="12">
        <v>1623.7085999999999</v>
      </c>
      <c r="K138" s="12">
        <v>2439.0855000000001</v>
      </c>
    </row>
    <row r="139" spans="1:11" ht="15" customHeight="1" x14ac:dyDescent="0.2">
      <c r="A139" s="14" t="s">
        <v>848</v>
      </c>
      <c r="B139" s="15" t="s">
        <v>6</v>
      </c>
      <c r="C139" s="16"/>
      <c r="D139" s="17"/>
      <c r="E139" s="17"/>
      <c r="F139" s="18">
        <v>36.0259</v>
      </c>
      <c r="G139" s="19">
        <v>55.229399999999998</v>
      </c>
      <c r="H139" s="20">
        <v>85.139799999999994</v>
      </c>
      <c r="I139" s="21">
        <v>1024.5518</v>
      </c>
      <c r="J139" s="20">
        <v>1623.7085999999999</v>
      </c>
      <c r="K139" s="20">
        <v>2439.0855000000001</v>
      </c>
    </row>
    <row r="140" spans="1:11" ht="15" customHeight="1" x14ac:dyDescent="0.2">
      <c r="A140" s="22" t="s">
        <v>849</v>
      </c>
      <c r="B140" s="23" t="s">
        <v>8</v>
      </c>
      <c r="C140" s="23" t="s">
        <v>9</v>
      </c>
      <c r="D140" s="24" t="s">
        <v>20</v>
      </c>
      <c r="E140" s="24" t="s">
        <v>88</v>
      </c>
      <c r="F140" s="18"/>
      <c r="G140" s="19">
        <v>8.6E-3</v>
      </c>
      <c r="H140" s="20">
        <v>13.3878</v>
      </c>
      <c r="I140" s="21"/>
      <c r="J140" s="20">
        <v>0.19639999999999999</v>
      </c>
      <c r="K140" s="20">
        <v>341.02409999999998</v>
      </c>
    </row>
    <row r="141" spans="1:11" ht="15" customHeight="1" x14ac:dyDescent="0.2">
      <c r="A141" s="22" t="s">
        <v>850</v>
      </c>
      <c r="B141" s="23" t="s">
        <v>8</v>
      </c>
      <c r="C141" s="23" t="s">
        <v>9</v>
      </c>
      <c r="D141" s="24" t="s">
        <v>20</v>
      </c>
      <c r="E141" s="24" t="s">
        <v>88</v>
      </c>
      <c r="F141" s="18"/>
      <c r="G141" s="19">
        <v>4.8898999999999999</v>
      </c>
      <c r="H141" s="20">
        <v>10.664400000000001</v>
      </c>
      <c r="I141" s="21"/>
      <c r="J141" s="20">
        <v>145.9169</v>
      </c>
      <c r="K141" s="20">
        <v>284.60649999999998</v>
      </c>
    </row>
    <row r="142" spans="1:11" ht="15" customHeight="1" x14ac:dyDescent="0.2">
      <c r="A142" s="22" t="s">
        <v>851</v>
      </c>
      <c r="B142" s="23" t="s">
        <v>8</v>
      </c>
      <c r="C142" s="23" t="s">
        <v>9</v>
      </c>
      <c r="D142" s="24" t="s">
        <v>20</v>
      </c>
      <c r="E142" s="24" t="s">
        <v>88</v>
      </c>
      <c r="F142" s="18"/>
      <c r="G142" s="19">
        <v>5.8544999999999998</v>
      </c>
      <c r="H142" s="20">
        <v>9.0564</v>
      </c>
      <c r="I142" s="21"/>
      <c r="J142" s="20">
        <v>166.38579999999999</v>
      </c>
      <c r="K142" s="20">
        <v>238.54349999999999</v>
      </c>
    </row>
    <row r="143" spans="1:11" ht="15" customHeight="1" x14ac:dyDescent="0.2">
      <c r="A143" s="22" t="s">
        <v>852</v>
      </c>
      <c r="B143" s="23" t="s">
        <v>8</v>
      </c>
      <c r="C143" s="23" t="s">
        <v>9</v>
      </c>
      <c r="D143" s="24" t="s">
        <v>20</v>
      </c>
      <c r="E143" s="24" t="s">
        <v>119</v>
      </c>
      <c r="F143" s="18"/>
      <c r="G143" s="19"/>
      <c r="H143" s="20">
        <v>0.9879</v>
      </c>
      <c r="I143" s="21"/>
      <c r="J143" s="20"/>
      <c r="K143" s="20">
        <v>34.929000000000002</v>
      </c>
    </row>
    <row r="144" spans="1:11" ht="15" customHeight="1" x14ac:dyDescent="0.2">
      <c r="A144" s="22" t="s">
        <v>853</v>
      </c>
      <c r="B144" s="23" t="s">
        <v>8</v>
      </c>
      <c r="C144" s="23" t="s">
        <v>9</v>
      </c>
      <c r="D144" s="24" t="s">
        <v>20</v>
      </c>
      <c r="E144" s="24" t="s">
        <v>17</v>
      </c>
      <c r="F144" s="18">
        <v>15.267200000000001</v>
      </c>
      <c r="G144" s="19">
        <v>16.318300000000001</v>
      </c>
      <c r="H144" s="20">
        <v>16.784099999999999</v>
      </c>
      <c r="I144" s="21">
        <v>431.15870000000001</v>
      </c>
      <c r="J144" s="20">
        <v>473.67329999999998</v>
      </c>
      <c r="K144" s="20">
        <v>505.80540000000002</v>
      </c>
    </row>
    <row r="145" spans="1:11" ht="15" customHeight="1" x14ac:dyDescent="0.2">
      <c r="A145" s="22" t="s">
        <v>854</v>
      </c>
      <c r="B145" s="23" t="s">
        <v>8</v>
      </c>
      <c r="C145" s="23" t="s">
        <v>9</v>
      </c>
      <c r="D145" s="24" t="s">
        <v>20</v>
      </c>
      <c r="E145" s="24" t="s">
        <v>17</v>
      </c>
      <c r="F145" s="18">
        <v>9.5295000000000005</v>
      </c>
      <c r="G145" s="19">
        <v>13.395300000000001</v>
      </c>
      <c r="H145" s="20">
        <v>18.126999999999999</v>
      </c>
      <c r="I145" s="21">
        <v>274.45499999999998</v>
      </c>
      <c r="J145" s="20">
        <v>396.72109999999998</v>
      </c>
      <c r="K145" s="20">
        <v>559.59109999999998</v>
      </c>
    </row>
    <row r="146" spans="1:11" ht="15" customHeight="1" x14ac:dyDescent="0.2">
      <c r="A146" s="22" t="s">
        <v>855</v>
      </c>
      <c r="B146" s="23" t="s">
        <v>8</v>
      </c>
      <c r="C146" s="23" t="s">
        <v>9</v>
      </c>
      <c r="D146" s="24" t="s">
        <v>20</v>
      </c>
      <c r="E146" s="24" t="s">
        <v>17</v>
      </c>
      <c r="F146" s="18">
        <v>11.2293</v>
      </c>
      <c r="G146" s="19">
        <v>14.7631</v>
      </c>
      <c r="H146" s="20">
        <v>16.131900000000002</v>
      </c>
      <c r="I146" s="21">
        <v>318.93810000000002</v>
      </c>
      <c r="J146" s="20">
        <v>440.8152</v>
      </c>
      <c r="K146" s="20">
        <v>474.58569999999997</v>
      </c>
    </row>
    <row r="147" spans="1:11" ht="14.25" customHeight="1" x14ac:dyDescent="0.2">
      <c r="A147" s="25" t="s">
        <v>732</v>
      </c>
      <c r="B147" s="4" t="s">
        <v>5</v>
      </c>
      <c r="C147" s="4"/>
      <c r="D147" s="5"/>
      <c r="E147" s="5"/>
      <c r="F147" s="10">
        <v>1.03E-2</v>
      </c>
      <c r="G147" s="11"/>
      <c r="H147" s="12"/>
      <c r="I147" s="13">
        <v>0.3876</v>
      </c>
      <c r="J147" s="12"/>
      <c r="K147" s="12"/>
    </row>
    <row r="148" spans="1:11" ht="15" customHeight="1" x14ac:dyDescent="0.2">
      <c r="A148" s="14" t="s">
        <v>856</v>
      </c>
      <c r="B148" s="15" t="s">
        <v>6</v>
      </c>
      <c r="C148" s="16"/>
      <c r="D148" s="17"/>
      <c r="E148" s="17"/>
      <c r="F148" s="18">
        <v>1.03E-2</v>
      </c>
      <c r="G148" s="19"/>
      <c r="H148" s="20"/>
      <c r="I148" s="21">
        <v>0.3876</v>
      </c>
      <c r="J148" s="20"/>
      <c r="K148" s="20"/>
    </row>
    <row r="149" spans="1:11" ht="15" customHeight="1" x14ac:dyDescent="0.2">
      <c r="A149" s="22" t="s">
        <v>819</v>
      </c>
      <c r="B149" s="23" t="s">
        <v>8</v>
      </c>
      <c r="C149" s="23" t="s">
        <v>9</v>
      </c>
      <c r="D149" s="24" t="s">
        <v>10</v>
      </c>
      <c r="E149" s="24" t="s">
        <v>99</v>
      </c>
      <c r="F149" s="18">
        <v>1.03E-2</v>
      </c>
      <c r="G149" s="19"/>
      <c r="H149" s="20"/>
      <c r="I149" s="21">
        <v>0.3876</v>
      </c>
      <c r="J149" s="20"/>
      <c r="K149" s="20"/>
    </row>
    <row r="150" spans="1:11" ht="14.25" customHeight="1" x14ac:dyDescent="0.2">
      <c r="A150" s="25" t="s">
        <v>733</v>
      </c>
      <c r="B150" s="4" t="s">
        <v>5</v>
      </c>
      <c r="C150" s="4"/>
      <c r="D150" s="5"/>
      <c r="E150" s="5"/>
      <c r="F150" s="10"/>
      <c r="G150" s="11">
        <v>1.8077000000000001</v>
      </c>
      <c r="H150" s="12">
        <v>54.250700000000002</v>
      </c>
      <c r="I150" s="13"/>
      <c r="J150" s="12">
        <v>127.6024</v>
      </c>
      <c r="K150" s="12">
        <v>2956.24</v>
      </c>
    </row>
    <row r="151" spans="1:11" ht="15" customHeight="1" x14ac:dyDescent="0.2">
      <c r="A151" s="14" t="s">
        <v>857</v>
      </c>
      <c r="B151" s="15" t="s">
        <v>6</v>
      </c>
      <c r="C151" s="16"/>
      <c r="D151" s="17"/>
      <c r="E151" s="17"/>
      <c r="F151" s="18"/>
      <c r="G151" s="19">
        <v>1.8077000000000001</v>
      </c>
      <c r="H151" s="20">
        <v>54.250700000000002</v>
      </c>
      <c r="I151" s="21"/>
      <c r="J151" s="20">
        <v>127.6024</v>
      </c>
      <c r="K151" s="20">
        <v>2956.24</v>
      </c>
    </row>
    <row r="152" spans="1:11" ht="15" customHeight="1" x14ac:dyDescent="0.2">
      <c r="A152" s="22" t="s">
        <v>130</v>
      </c>
      <c r="B152" s="23" t="s">
        <v>8</v>
      </c>
      <c r="C152" s="23" t="s">
        <v>9</v>
      </c>
      <c r="D152" s="24" t="s">
        <v>10</v>
      </c>
      <c r="E152" s="24" t="s">
        <v>24</v>
      </c>
      <c r="F152" s="18"/>
      <c r="G152" s="19">
        <v>1.8077000000000001</v>
      </c>
      <c r="H152" s="20">
        <v>54.250700000000002</v>
      </c>
      <c r="I152" s="21"/>
      <c r="J152" s="20">
        <v>127.6024</v>
      </c>
      <c r="K152" s="20">
        <v>2956.24</v>
      </c>
    </row>
    <row r="153" spans="1:11" ht="14.25" customHeight="1" x14ac:dyDescent="0.2">
      <c r="A153" s="25" t="s">
        <v>734</v>
      </c>
      <c r="B153" s="4" t="s">
        <v>5</v>
      </c>
      <c r="C153" s="4"/>
      <c r="D153" s="5"/>
      <c r="E153" s="5"/>
      <c r="F153" s="10"/>
      <c r="G153" s="11">
        <v>0.1202</v>
      </c>
      <c r="H153" s="12"/>
      <c r="I153" s="13"/>
      <c r="J153" s="12">
        <v>2.4085999999999999</v>
      </c>
      <c r="K153" s="12"/>
    </row>
    <row r="154" spans="1:11" ht="15" customHeight="1" x14ac:dyDescent="0.2">
      <c r="A154" s="14" t="s">
        <v>131</v>
      </c>
      <c r="B154" s="15" t="s">
        <v>6</v>
      </c>
      <c r="C154" s="16"/>
      <c r="D154" s="17"/>
      <c r="E154" s="17"/>
      <c r="F154" s="18"/>
      <c r="G154" s="19">
        <v>0.1202</v>
      </c>
      <c r="H154" s="20"/>
      <c r="I154" s="21"/>
      <c r="J154" s="20">
        <v>2.4085999999999999</v>
      </c>
      <c r="K154" s="20"/>
    </row>
    <row r="155" spans="1:11" ht="15" customHeight="1" x14ac:dyDescent="0.2">
      <c r="A155" s="22" t="s">
        <v>132</v>
      </c>
      <c r="B155" s="23" t="s">
        <v>8</v>
      </c>
      <c r="C155" s="23" t="s">
        <v>9</v>
      </c>
      <c r="D155" s="24" t="s">
        <v>10</v>
      </c>
      <c r="E155" s="24" t="s">
        <v>11</v>
      </c>
      <c r="F155" s="18"/>
      <c r="G155" s="19">
        <v>0.1202</v>
      </c>
      <c r="H155" s="20"/>
      <c r="I155" s="21"/>
      <c r="J155" s="20">
        <v>2.4085999999999999</v>
      </c>
      <c r="K155" s="20"/>
    </row>
    <row r="156" spans="1:11" ht="14.25" customHeight="1" x14ac:dyDescent="0.2">
      <c r="A156" s="25" t="s">
        <v>735</v>
      </c>
      <c r="B156" s="4" t="s">
        <v>5</v>
      </c>
      <c r="C156" s="4"/>
      <c r="D156" s="5"/>
      <c r="E156" s="5"/>
      <c r="F156" s="10">
        <v>212.42590000000001</v>
      </c>
      <c r="G156" s="11">
        <v>118.93340000000001</v>
      </c>
      <c r="H156" s="12">
        <v>32.276800000000001</v>
      </c>
      <c r="I156" s="13">
        <v>11963.103999999999</v>
      </c>
      <c r="J156" s="12">
        <v>6284.8913000000002</v>
      </c>
      <c r="K156" s="12">
        <v>1340.7376999999999</v>
      </c>
    </row>
    <row r="157" spans="1:11" ht="15" customHeight="1" x14ac:dyDescent="0.2">
      <c r="A157" s="14" t="s">
        <v>858</v>
      </c>
      <c r="B157" s="15" t="s">
        <v>6</v>
      </c>
      <c r="C157" s="16"/>
      <c r="D157" s="17"/>
      <c r="E157" s="17"/>
      <c r="F157" s="18">
        <v>57.485300000000002</v>
      </c>
      <c r="G157" s="19">
        <v>39.476199999999999</v>
      </c>
      <c r="H157" s="20">
        <v>6.7363999999999997</v>
      </c>
      <c r="I157" s="21">
        <v>3117.2665999999999</v>
      </c>
      <c r="J157" s="20">
        <v>2098.0985000000001</v>
      </c>
      <c r="K157" s="20">
        <v>314.59030000000001</v>
      </c>
    </row>
    <row r="158" spans="1:11" ht="15" customHeight="1" x14ac:dyDescent="0.2">
      <c r="A158" s="22" t="s">
        <v>133</v>
      </c>
      <c r="B158" s="23" t="s">
        <v>8</v>
      </c>
      <c r="C158" s="23" t="s">
        <v>9</v>
      </c>
      <c r="D158" s="24" t="s">
        <v>20</v>
      </c>
      <c r="E158" s="24" t="s">
        <v>24</v>
      </c>
      <c r="F158" s="18">
        <v>28.356999999999999</v>
      </c>
      <c r="G158" s="19">
        <v>20.580200000000001</v>
      </c>
      <c r="H158" s="20">
        <v>0.78890000000000005</v>
      </c>
      <c r="I158" s="21">
        <v>1646.7402</v>
      </c>
      <c r="J158" s="20">
        <v>1088.8000999999999</v>
      </c>
      <c r="K158" s="20">
        <v>38.968699999999998</v>
      </c>
    </row>
    <row r="159" spans="1:11" ht="15" customHeight="1" x14ac:dyDescent="0.2">
      <c r="A159" s="22" t="s">
        <v>134</v>
      </c>
      <c r="B159" s="23" t="s">
        <v>8</v>
      </c>
      <c r="C159" s="23" t="s">
        <v>9</v>
      </c>
      <c r="D159" s="24" t="s">
        <v>30</v>
      </c>
      <c r="E159" s="24" t="s">
        <v>24</v>
      </c>
      <c r="F159" s="18">
        <v>12.003299999999999</v>
      </c>
      <c r="G159" s="19">
        <v>12.0252</v>
      </c>
      <c r="H159" s="20">
        <v>1.8045</v>
      </c>
      <c r="I159" s="21">
        <v>643.41989999999998</v>
      </c>
      <c r="J159" s="20">
        <v>689.18370000000004</v>
      </c>
      <c r="K159" s="20">
        <v>98.837400000000002</v>
      </c>
    </row>
    <row r="160" spans="1:11" ht="15" customHeight="1" x14ac:dyDescent="0.2">
      <c r="A160" s="22" t="s">
        <v>135</v>
      </c>
      <c r="B160" s="23" t="s">
        <v>8</v>
      </c>
      <c r="C160" s="23" t="s">
        <v>9</v>
      </c>
      <c r="D160" s="24" t="s">
        <v>30</v>
      </c>
      <c r="E160" s="24" t="s">
        <v>24</v>
      </c>
      <c r="F160" s="18">
        <v>0.11600000000000001</v>
      </c>
      <c r="G160" s="19"/>
      <c r="H160" s="20"/>
      <c r="I160" s="21">
        <v>6.96</v>
      </c>
      <c r="J160" s="20"/>
      <c r="K160" s="20"/>
    </row>
    <row r="161" spans="1:11" ht="15" customHeight="1" x14ac:dyDescent="0.2">
      <c r="A161" s="22" t="s">
        <v>136</v>
      </c>
      <c r="B161" s="23" t="s">
        <v>8</v>
      </c>
      <c r="C161" s="23" t="s">
        <v>9</v>
      </c>
      <c r="D161" s="24" t="s">
        <v>20</v>
      </c>
      <c r="E161" s="24" t="s">
        <v>99</v>
      </c>
      <c r="F161" s="18">
        <v>4.6429999999999998</v>
      </c>
      <c r="G161" s="19">
        <v>2.3708</v>
      </c>
      <c r="H161" s="20">
        <v>3.8805999999999998</v>
      </c>
      <c r="I161" s="21">
        <v>208.76240000000001</v>
      </c>
      <c r="J161" s="20">
        <v>99.124899999999997</v>
      </c>
      <c r="K161" s="20">
        <v>163.75460000000001</v>
      </c>
    </row>
    <row r="162" spans="1:11" ht="15" customHeight="1" x14ac:dyDescent="0.2">
      <c r="A162" s="22" t="s">
        <v>137</v>
      </c>
      <c r="B162" s="23" t="s">
        <v>8</v>
      </c>
      <c r="C162" s="23" t="s">
        <v>9</v>
      </c>
      <c r="D162" s="24" t="s">
        <v>30</v>
      </c>
      <c r="E162" s="24" t="s">
        <v>42</v>
      </c>
      <c r="F162" s="18">
        <v>8.5853000000000002</v>
      </c>
      <c r="G162" s="19">
        <v>4.2140000000000004</v>
      </c>
      <c r="H162" s="20">
        <v>0.26250000000000001</v>
      </c>
      <c r="I162" s="21">
        <v>402.53930000000003</v>
      </c>
      <c r="J162" s="20">
        <v>207.43709999999999</v>
      </c>
      <c r="K162" s="20">
        <v>13.0296</v>
      </c>
    </row>
    <row r="163" spans="1:11" ht="15" customHeight="1" x14ac:dyDescent="0.2">
      <c r="A163" s="22" t="s">
        <v>138</v>
      </c>
      <c r="B163" s="23" t="s">
        <v>8</v>
      </c>
      <c r="C163" s="23" t="s">
        <v>9</v>
      </c>
      <c r="D163" s="24" t="s">
        <v>20</v>
      </c>
      <c r="E163" s="24" t="s">
        <v>42</v>
      </c>
      <c r="F163" s="18">
        <v>0.83140000000000003</v>
      </c>
      <c r="G163" s="19">
        <v>1.5299999999999999E-2</v>
      </c>
      <c r="H163" s="20"/>
      <c r="I163" s="21">
        <v>39.196399999999997</v>
      </c>
      <c r="J163" s="20">
        <v>0.64800000000000002</v>
      </c>
      <c r="K163" s="20"/>
    </row>
    <row r="164" spans="1:11" ht="15" customHeight="1" x14ac:dyDescent="0.2">
      <c r="A164" s="22" t="s">
        <v>139</v>
      </c>
      <c r="B164" s="23" t="s">
        <v>8</v>
      </c>
      <c r="C164" s="23" t="s">
        <v>9</v>
      </c>
      <c r="D164" s="24" t="s">
        <v>20</v>
      </c>
      <c r="E164" s="24" t="s">
        <v>68</v>
      </c>
      <c r="F164" s="18">
        <v>2.9493999999999998</v>
      </c>
      <c r="G164" s="19">
        <v>0.27079999999999999</v>
      </c>
      <c r="H164" s="20"/>
      <c r="I164" s="21">
        <v>169.64840000000001</v>
      </c>
      <c r="J164" s="20">
        <v>12.904400000000001</v>
      </c>
      <c r="K164" s="20"/>
    </row>
    <row r="165" spans="1:11" ht="15" customHeight="1" x14ac:dyDescent="0.2">
      <c r="A165" s="14" t="s">
        <v>859</v>
      </c>
      <c r="B165" s="15" t="s">
        <v>6</v>
      </c>
      <c r="C165" s="16"/>
      <c r="D165" s="17"/>
      <c r="E165" s="17"/>
      <c r="F165" s="18">
        <v>4.0544000000000002</v>
      </c>
      <c r="G165" s="19"/>
      <c r="H165" s="20"/>
      <c r="I165" s="21">
        <v>233.119</v>
      </c>
      <c r="J165" s="20"/>
      <c r="K165" s="20"/>
    </row>
    <row r="166" spans="1:11" ht="15" customHeight="1" x14ac:dyDescent="0.2">
      <c r="A166" s="22" t="s">
        <v>140</v>
      </c>
      <c r="B166" s="23" t="s">
        <v>8</v>
      </c>
      <c r="C166" s="23" t="s">
        <v>9</v>
      </c>
      <c r="D166" s="24" t="s">
        <v>69</v>
      </c>
      <c r="E166" s="24" t="s">
        <v>21</v>
      </c>
      <c r="F166" s="18">
        <v>4.0140000000000002</v>
      </c>
      <c r="G166" s="19"/>
      <c r="H166" s="20"/>
      <c r="I166" s="21">
        <v>230.286</v>
      </c>
      <c r="J166" s="20"/>
      <c r="K166" s="20"/>
    </row>
    <row r="167" spans="1:11" ht="15" customHeight="1" x14ac:dyDescent="0.2">
      <c r="A167" s="22" t="s">
        <v>141</v>
      </c>
      <c r="B167" s="23" t="s">
        <v>8</v>
      </c>
      <c r="C167" s="23" t="s">
        <v>9</v>
      </c>
      <c r="D167" s="24" t="s">
        <v>10</v>
      </c>
      <c r="E167" s="24" t="s">
        <v>123</v>
      </c>
      <c r="F167" s="18">
        <v>4.0500000000000001E-2</v>
      </c>
      <c r="G167" s="19"/>
      <c r="H167" s="20"/>
      <c r="I167" s="21">
        <v>2.8330000000000002</v>
      </c>
      <c r="J167" s="20"/>
      <c r="K167" s="20"/>
    </row>
    <row r="168" spans="1:11" ht="15" customHeight="1" x14ac:dyDescent="0.2">
      <c r="A168" s="14" t="s">
        <v>860</v>
      </c>
      <c r="B168" s="15" t="s">
        <v>6</v>
      </c>
      <c r="C168" s="16"/>
      <c r="D168" s="17"/>
      <c r="E168" s="17"/>
      <c r="F168" s="18">
        <v>1.6357999999999999</v>
      </c>
      <c r="G168" s="19"/>
      <c r="H168" s="20"/>
      <c r="I168" s="21">
        <v>89.7791</v>
      </c>
      <c r="J168" s="20"/>
      <c r="K168" s="20"/>
    </row>
    <row r="169" spans="1:11" ht="15" customHeight="1" x14ac:dyDescent="0.2">
      <c r="A169" s="22" t="s">
        <v>142</v>
      </c>
      <c r="B169" s="23" t="s">
        <v>8</v>
      </c>
      <c r="C169" s="23" t="s">
        <v>9</v>
      </c>
      <c r="D169" s="24" t="s">
        <v>30</v>
      </c>
      <c r="E169" s="24" t="s">
        <v>24</v>
      </c>
      <c r="F169" s="18">
        <v>0.76770000000000005</v>
      </c>
      <c r="G169" s="19"/>
      <c r="H169" s="20"/>
      <c r="I169" s="21">
        <v>46.441400000000002</v>
      </c>
      <c r="J169" s="20"/>
      <c r="K169" s="20"/>
    </row>
    <row r="170" spans="1:11" ht="15" customHeight="1" x14ac:dyDescent="0.2">
      <c r="A170" s="22" t="s">
        <v>143</v>
      </c>
      <c r="B170" s="23" t="s">
        <v>8</v>
      </c>
      <c r="C170" s="23" t="s">
        <v>9</v>
      </c>
      <c r="D170" s="24" t="s">
        <v>20</v>
      </c>
      <c r="E170" s="24" t="s">
        <v>68</v>
      </c>
      <c r="F170" s="18">
        <v>0.86809999999999998</v>
      </c>
      <c r="G170" s="19"/>
      <c r="H170" s="20"/>
      <c r="I170" s="21">
        <v>43.337600000000002</v>
      </c>
      <c r="J170" s="20"/>
      <c r="K170" s="20"/>
    </row>
    <row r="171" spans="1:11" ht="15" customHeight="1" x14ac:dyDescent="0.2">
      <c r="A171" s="14" t="s">
        <v>861</v>
      </c>
      <c r="B171" s="15" t="s">
        <v>6</v>
      </c>
      <c r="C171" s="16"/>
      <c r="D171" s="17"/>
      <c r="E171" s="17"/>
      <c r="F171" s="18">
        <v>9.5548999999999999</v>
      </c>
      <c r="G171" s="19">
        <v>16.797000000000001</v>
      </c>
      <c r="H171" s="20">
        <v>14.8012</v>
      </c>
      <c r="I171" s="21">
        <v>338.9522</v>
      </c>
      <c r="J171" s="20">
        <v>643.8528</v>
      </c>
      <c r="K171" s="20">
        <v>454.05590000000001</v>
      </c>
    </row>
    <row r="172" spans="1:11" ht="15" customHeight="1" x14ac:dyDescent="0.2">
      <c r="A172" s="22" t="s">
        <v>144</v>
      </c>
      <c r="B172" s="23" t="s">
        <v>8</v>
      </c>
      <c r="C172" s="23" t="s">
        <v>9</v>
      </c>
      <c r="D172" s="24" t="s">
        <v>20</v>
      </c>
      <c r="E172" s="24" t="s">
        <v>26</v>
      </c>
      <c r="F172" s="18">
        <v>9.5548999999999999</v>
      </c>
      <c r="G172" s="19">
        <v>16.797000000000001</v>
      </c>
      <c r="H172" s="20">
        <v>14.8012</v>
      </c>
      <c r="I172" s="21">
        <v>338.9522</v>
      </c>
      <c r="J172" s="20">
        <v>643.8528</v>
      </c>
      <c r="K172" s="20">
        <v>454.05590000000001</v>
      </c>
    </row>
    <row r="173" spans="1:11" ht="15" customHeight="1" x14ac:dyDescent="0.2">
      <c r="A173" s="14" t="s">
        <v>862</v>
      </c>
      <c r="B173" s="15" t="s">
        <v>6</v>
      </c>
      <c r="C173" s="16"/>
      <c r="D173" s="17"/>
      <c r="E173" s="17"/>
      <c r="F173" s="18">
        <v>80.961600000000004</v>
      </c>
      <c r="G173" s="19">
        <v>26.590599999999998</v>
      </c>
      <c r="H173" s="20">
        <v>4.7952000000000004</v>
      </c>
      <c r="I173" s="21">
        <v>4767.0126</v>
      </c>
      <c r="J173" s="20">
        <v>1476.0722000000001</v>
      </c>
      <c r="K173" s="20">
        <v>260.76119999999997</v>
      </c>
    </row>
    <row r="174" spans="1:11" ht="15" customHeight="1" x14ac:dyDescent="0.2">
      <c r="A174" s="22" t="s">
        <v>145</v>
      </c>
      <c r="B174" s="23" t="s">
        <v>8</v>
      </c>
      <c r="C174" s="23" t="s">
        <v>9</v>
      </c>
      <c r="D174" s="24" t="s">
        <v>20</v>
      </c>
      <c r="E174" s="24" t="s">
        <v>24</v>
      </c>
      <c r="F174" s="18">
        <v>21.0763</v>
      </c>
      <c r="G174" s="19">
        <v>7.9172000000000002</v>
      </c>
      <c r="H174" s="20">
        <v>0.35720000000000002</v>
      </c>
      <c r="I174" s="21">
        <v>1178.5386000000001</v>
      </c>
      <c r="J174" s="20">
        <v>421.82799999999997</v>
      </c>
      <c r="K174" s="20">
        <v>19.481100000000001</v>
      </c>
    </row>
    <row r="175" spans="1:11" ht="15" customHeight="1" x14ac:dyDescent="0.2">
      <c r="A175" s="22" t="s">
        <v>146</v>
      </c>
      <c r="B175" s="23" t="s">
        <v>8</v>
      </c>
      <c r="C175" s="23" t="s">
        <v>9</v>
      </c>
      <c r="D175" s="24" t="s">
        <v>30</v>
      </c>
      <c r="E175" s="24" t="s">
        <v>24</v>
      </c>
      <c r="F175" s="18">
        <v>59.8855</v>
      </c>
      <c r="G175" s="19">
        <v>18.673500000000001</v>
      </c>
      <c r="H175" s="20">
        <v>4.4382000000000001</v>
      </c>
      <c r="I175" s="21">
        <v>3588.4739</v>
      </c>
      <c r="J175" s="20">
        <v>1054.2443000000001</v>
      </c>
      <c r="K175" s="20">
        <v>241.28020000000001</v>
      </c>
    </row>
    <row r="176" spans="1:11" ht="15" customHeight="1" x14ac:dyDescent="0.2">
      <c r="A176" s="14" t="s">
        <v>863</v>
      </c>
      <c r="B176" s="15" t="s">
        <v>6</v>
      </c>
      <c r="C176" s="16"/>
      <c r="D176" s="17"/>
      <c r="E176" s="17"/>
      <c r="F176" s="18">
        <v>37.596899999999998</v>
      </c>
      <c r="G176" s="19">
        <v>28.031099999999999</v>
      </c>
      <c r="H176" s="20">
        <v>1.2394000000000001</v>
      </c>
      <c r="I176" s="21">
        <v>2231.0284000000001</v>
      </c>
      <c r="J176" s="20">
        <v>1606.1090999999999</v>
      </c>
      <c r="K176" s="20">
        <v>64.665899999999993</v>
      </c>
    </row>
    <row r="177" spans="1:11" ht="15" customHeight="1" x14ac:dyDescent="0.2">
      <c r="A177" s="22" t="s">
        <v>147</v>
      </c>
      <c r="B177" s="23" t="s">
        <v>8</v>
      </c>
      <c r="C177" s="23" t="s">
        <v>9</v>
      </c>
      <c r="D177" s="24" t="s">
        <v>20</v>
      </c>
      <c r="E177" s="24" t="s">
        <v>24</v>
      </c>
      <c r="F177" s="18">
        <v>37.596899999999998</v>
      </c>
      <c r="G177" s="19">
        <v>28.031099999999999</v>
      </c>
      <c r="H177" s="20">
        <v>1.2394000000000001</v>
      </c>
      <c r="I177" s="21">
        <v>2231.0284000000001</v>
      </c>
      <c r="J177" s="20">
        <v>1606.1090999999999</v>
      </c>
      <c r="K177" s="20">
        <v>64.665899999999993</v>
      </c>
    </row>
    <row r="178" spans="1:11" ht="15" customHeight="1" x14ac:dyDescent="0.2">
      <c r="A178" s="14" t="s">
        <v>864</v>
      </c>
      <c r="B178" s="15" t="s">
        <v>6</v>
      </c>
      <c r="C178" s="16"/>
      <c r="D178" s="17"/>
      <c r="E178" s="17"/>
      <c r="F178" s="18">
        <v>21.1371</v>
      </c>
      <c r="G178" s="19">
        <v>8.0383999999999993</v>
      </c>
      <c r="H178" s="20">
        <v>4.7045000000000003</v>
      </c>
      <c r="I178" s="21">
        <v>1185.9459999999999</v>
      </c>
      <c r="J178" s="20">
        <v>460.75880000000001</v>
      </c>
      <c r="K178" s="20">
        <v>246.6643</v>
      </c>
    </row>
    <row r="179" spans="1:11" ht="15" customHeight="1" x14ac:dyDescent="0.2">
      <c r="A179" s="22" t="s">
        <v>148</v>
      </c>
      <c r="B179" s="23" t="s">
        <v>8</v>
      </c>
      <c r="C179" s="23" t="s">
        <v>9</v>
      </c>
      <c r="D179" s="24" t="s">
        <v>20</v>
      </c>
      <c r="E179" s="24" t="s">
        <v>42</v>
      </c>
      <c r="F179" s="18">
        <v>4.1798000000000002</v>
      </c>
      <c r="G179" s="19"/>
      <c r="H179" s="20"/>
      <c r="I179" s="21">
        <v>212.80930000000001</v>
      </c>
      <c r="J179" s="20"/>
      <c r="K179" s="20"/>
    </row>
    <row r="180" spans="1:11" ht="15" customHeight="1" x14ac:dyDescent="0.2">
      <c r="A180" s="22" t="s">
        <v>149</v>
      </c>
      <c r="B180" s="23" t="s">
        <v>8</v>
      </c>
      <c r="C180" s="23" t="s">
        <v>9</v>
      </c>
      <c r="D180" s="24" t="s">
        <v>20</v>
      </c>
      <c r="E180" s="24" t="s">
        <v>42</v>
      </c>
      <c r="F180" s="18">
        <v>16.9573</v>
      </c>
      <c r="G180" s="19">
        <v>8.0383999999999993</v>
      </c>
      <c r="H180" s="20">
        <v>4.7045000000000003</v>
      </c>
      <c r="I180" s="21">
        <v>973.13670000000002</v>
      </c>
      <c r="J180" s="20">
        <v>460.75880000000001</v>
      </c>
      <c r="K180" s="20">
        <v>246.6643</v>
      </c>
    </row>
    <row r="181" spans="1:11" ht="14.25" customHeight="1" x14ac:dyDescent="0.2">
      <c r="A181" s="25" t="s">
        <v>736</v>
      </c>
      <c r="B181" s="4" t="s">
        <v>5</v>
      </c>
      <c r="C181" s="4"/>
      <c r="D181" s="5"/>
      <c r="E181" s="5"/>
      <c r="F181" s="10"/>
      <c r="G181" s="11"/>
      <c r="H181" s="12"/>
      <c r="I181" s="13"/>
      <c r="J181" s="12"/>
      <c r="K181" s="12"/>
    </row>
    <row r="182" spans="1:11" ht="15" customHeight="1" x14ac:dyDescent="0.2">
      <c r="A182" s="14" t="s">
        <v>865</v>
      </c>
      <c r="B182" s="15" t="s">
        <v>6</v>
      </c>
      <c r="C182" s="16"/>
      <c r="D182" s="17"/>
      <c r="E182" s="17"/>
      <c r="F182" s="18"/>
      <c r="G182" s="19"/>
      <c r="H182" s="20"/>
      <c r="I182" s="21"/>
      <c r="J182" s="20"/>
      <c r="K182" s="20"/>
    </row>
    <row r="183" spans="1:11" ht="15" customHeight="1" x14ac:dyDescent="0.2">
      <c r="A183" s="22" t="s">
        <v>150</v>
      </c>
      <c r="B183" s="23" t="s">
        <v>8</v>
      </c>
      <c r="C183" s="23" t="s">
        <v>9</v>
      </c>
      <c r="D183" s="24" t="s">
        <v>20</v>
      </c>
      <c r="E183" s="24" t="s">
        <v>42</v>
      </c>
      <c r="F183" s="18"/>
      <c r="G183" s="19"/>
      <c r="H183" s="20"/>
      <c r="I183" s="21"/>
      <c r="J183" s="20"/>
      <c r="K183" s="20"/>
    </row>
    <row r="184" spans="1:11" ht="14.25" customHeight="1" x14ac:dyDescent="0.2">
      <c r="A184" s="25" t="s">
        <v>737</v>
      </c>
      <c r="B184" s="4" t="s">
        <v>5</v>
      </c>
      <c r="C184" s="4"/>
      <c r="D184" s="5"/>
      <c r="E184" s="5"/>
      <c r="F184" s="10">
        <v>8.9794</v>
      </c>
      <c r="G184" s="11"/>
      <c r="H184" s="12"/>
      <c r="I184" s="13">
        <v>618.46879999999999</v>
      </c>
      <c r="J184" s="12"/>
      <c r="K184" s="12"/>
    </row>
    <row r="185" spans="1:11" ht="15" customHeight="1" x14ac:dyDescent="0.2">
      <c r="A185" s="14" t="s">
        <v>151</v>
      </c>
      <c r="B185" s="15" t="s">
        <v>6</v>
      </c>
      <c r="C185" s="16"/>
      <c r="D185" s="17"/>
      <c r="E185" s="17"/>
      <c r="F185" s="18">
        <v>8.9794</v>
      </c>
      <c r="G185" s="19"/>
      <c r="H185" s="20"/>
      <c r="I185" s="21">
        <v>618.46879999999999</v>
      </c>
      <c r="J185" s="20"/>
      <c r="K185" s="20"/>
    </row>
    <row r="186" spans="1:11" ht="15" customHeight="1" x14ac:dyDescent="0.2">
      <c r="A186" s="22" t="s">
        <v>152</v>
      </c>
      <c r="B186" s="23" t="s">
        <v>8</v>
      </c>
      <c r="C186" s="23" t="s">
        <v>9</v>
      </c>
      <c r="D186" s="24" t="s">
        <v>30</v>
      </c>
      <c r="E186" s="24" t="s">
        <v>24</v>
      </c>
      <c r="F186" s="18">
        <v>8.9794</v>
      </c>
      <c r="G186" s="19"/>
      <c r="H186" s="20"/>
      <c r="I186" s="21">
        <v>618.46879999999999</v>
      </c>
      <c r="J186" s="20"/>
      <c r="K186" s="20"/>
    </row>
    <row r="187" spans="1:11" ht="15" customHeight="1" x14ac:dyDescent="0.2">
      <c r="A187" s="22" t="s">
        <v>153</v>
      </c>
      <c r="B187" s="23" t="s">
        <v>8</v>
      </c>
      <c r="C187" s="23" t="s">
        <v>9</v>
      </c>
      <c r="D187" s="24" t="s">
        <v>30</v>
      </c>
      <c r="E187" s="24" t="s">
        <v>17</v>
      </c>
      <c r="F187" s="18"/>
      <c r="G187" s="19"/>
      <c r="H187" s="20"/>
      <c r="I187" s="21"/>
      <c r="J187" s="20"/>
      <c r="K187" s="20"/>
    </row>
    <row r="188" spans="1:11" ht="14.25" customHeight="1" x14ac:dyDescent="0.2">
      <c r="A188" s="25" t="s">
        <v>738</v>
      </c>
      <c r="B188" s="4" t="s">
        <v>5</v>
      </c>
      <c r="C188" s="4"/>
      <c r="D188" s="5"/>
      <c r="E188" s="5"/>
      <c r="F188" s="10">
        <v>28.101500000000001</v>
      </c>
      <c r="G188" s="11">
        <v>242.1942</v>
      </c>
      <c r="H188" s="12">
        <v>67.606399999999994</v>
      </c>
      <c r="I188" s="13">
        <v>1283.3091999999999</v>
      </c>
      <c r="J188" s="12">
        <v>13602.248900000001</v>
      </c>
      <c r="K188" s="12">
        <v>3938.0097000000001</v>
      </c>
    </row>
    <row r="189" spans="1:11" ht="15" customHeight="1" x14ac:dyDescent="0.2">
      <c r="A189" s="14" t="s">
        <v>866</v>
      </c>
      <c r="B189" s="15" t="s">
        <v>6</v>
      </c>
      <c r="C189" s="16"/>
      <c r="D189" s="17"/>
      <c r="E189" s="17"/>
      <c r="F189" s="18"/>
      <c r="G189" s="19">
        <v>9.4999999999999998E-3</v>
      </c>
      <c r="H189" s="20"/>
      <c r="I189" s="21"/>
      <c r="J189" s="20">
        <v>0.51649999999999996</v>
      </c>
      <c r="K189" s="20"/>
    </row>
    <row r="190" spans="1:11" ht="15" customHeight="1" x14ac:dyDescent="0.2">
      <c r="A190" s="22" t="s">
        <v>154</v>
      </c>
      <c r="B190" s="23" t="s">
        <v>8</v>
      </c>
      <c r="C190" s="23" t="s">
        <v>9</v>
      </c>
      <c r="D190" s="24" t="s">
        <v>20</v>
      </c>
      <c r="E190" s="24" t="s">
        <v>24</v>
      </c>
      <c r="F190" s="18"/>
      <c r="G190" s="19">
        <v>9.4999999999999998E-3</v>
      </c>
      <c r="H190" s="20"/>
      <c r="I190" s="21"/>
      <c r="J190" s="20">
        <v>0.51649999999999996</v>
      </c>
      <c r="K190" s="20"/>
    </row>
    <row r="191" spans="1:11" ht="15" customHeight="1" x14ac:dyDescent="0.2">
      <c r="A191" s="14" t="s">
        <v>867</v>
      </c>
      <c r="B191" s="15" t="s">
        <v>6</v>
      </c>
      <c r="C191" s="16"/>
      <c r="D191" s="17"/>
      <c r="E191" s="17"/>
      <c r="F191" s="18">
        <v>27.842099999999999</v>
      </c>
      <c r="G191" s="19">
        <v>189.22739999999999</v>
      </c>
      <c r="H191" s="20">
        <v>44.134900000000002</v>
      </c>
      <c r="I191" s="21">
        <v>1267.7428</v>
      </c>
      <c r="J191" s="20">
        <v>11056.5895</v>
      </c>
      <c r="K191" s="20">
        <v>2900.9742999999999</v>
      </c>
    </row>
    <row r="192" spans="1:11" ht="15" customHeight="1" x14ac:dyDescent="0.2">
      <c r="A192" s="22" t="s">
        <v>155</v>
      </c>
      <c r="B192" s="23" t="s">
        <v>8</v>
      </c>
      <c r="C192" s="23" t="s">
        <v>9</v>
      </c>
      <c r="D192" s="24" t="s">
        <v>64</v>
      </c>
      <c r="E192" s="24" t="s">
        <v>156</v>
      </c>
      <c r="F192" s="18">
        <v>0.34189999999999998</v>
      </c>
      <c r="G192" s="19"/>
      <c r="H192" s="20"/>
      <c r="I192" s="21">
        <v>17.095199999999998</v>
      </c>
      <c r="J192" s="20"/>
      <c r="K192" s="20"/>
    </row>
    <row r="193" spans="1:11" ht="15" customHeight="1" x14ac:dyDescent="0.2">
      <c r="A193" s="22" t="s">
        <v>157</v>
      </c>
      <c r="B193" s="23" t="s">
        <v>8</v>
      </c>
      <c r="C193" s="23" t="s">
        <v>9</v>
      </c>
      <c r="D193" s="24" t="s">
        <v>30</v>
      </c>
      <c r="E193" s="24" t="s">
        <v>24</v>
      </c>
      <c r="F193" s="18"/>
      <c r="G193" s="19">
        <v>36.513300000000001</v>
      </c>
      <c r="H193" s="20">
        <v>9.9184000000000001</v>
      </c>
      <c r="I193" s="21"/>
      <c r="J193" s="20">
        <v>2225.7903999999999</v>
      </c>
      <c r="K193" s="20">
        <v>665.84569999999997</v>
      </c>
    </row>
    <row r="194" spans="1:11" ht="15" customHeight="1" x14ac:dyDescent="0.2">
      <c r="A194" s="22" t="s">
        <v>158</v>
      </c>
      <c r="B194" s="23" t="s">
        <v>8</v>
      </c>
      <c r="C194" s="23" t="s">
        <v>9</v>
      </c>
      <c r="D194" s="24" t="s">
        <v>30</v>
      </c>
      <c r="E194" s="24" t="s">
        <v>24</v>
      </c>
      <c r="F194" s="18"/>
      <c r="G194" s="19">
        <v>28.314</v>
      </c>
      <c r="H194" s="20">
        <v>9.1574000000000009</v>
      </c>
      <c r="I194" s="21"/>
      <c r="J194" s="20">
        <v>1712.6693</v>
      </c>
      <c r="K194" s="20">
        <v>592.38390000000004</v>
      </c>
    </row>
    <row r="195" spans="1:11" ht="15" customHeight="1" x14ac:dyDescent="0.2">
      <c r="A195" s="22" t="s">
        <v>159</v>
      </c>
      <c r="B195" s="23" t="s">
        <v>8</v>
      </c>
      <c r="C195" s="23" t="s">
        <v>9</v>
      </c>
      <c r="D195" s="24" t="s">
        <v>30</v>
      </c>
      <c r="E195" s="24" t="s">
        <v>24</v>
      </c>
      <c r="F195" s="18"/>
      <c r="G195" s="19">
        <v>24.999500000000001</v>
      </c>
      <c r="H195" s="20">
        <v>5.0659999999999998</v>
      </c>
      <c r="I195" s="21"/>
      <c r="J195" s="20">
        <v>1534.4268</v>
      </c>
      <c r="K195" s="20">
        <v>349.95659999999998</v>
      </c>
    </row>
    <row r="196" spans="1:11" ht="15" customHeight="1" x14ac:dyDescent="0.2">
      <c r="A196" s="22" t="s">
        <v>160</v>
      </c>
      <c r="B196" s="23" t="s">
        <v>8</v>
      </c>
      <c r="C196" s="23" t="s">
        <v>9</v>
      </c>
      <c r="D196" s="24" t="s">
        <v>20</v>
      </c>
      <c r="E196" s="24" t="s">
        <v>24</v>
      </c>
      <c r="F196" s="18">
        <v>25.1</v>
      </c>
      <c r="G196" s="19">
        <v>61.22</v>
      </c>
      <c r="H196" s="20">
        <v>8.9021000000000008</v>
      </c>
      <c r="I196" s="21">
        <v>1136.2986000000001</v>
      </c>
      <c r="J196" s="20">
        <v>3402.5661</v>
      </c>
      <c r="K196" s="20">
        <v>613.3809</v>
      </c>
    </row>
    <row r="197" spans="1:11" ht="15" customHeight="1" x14ac:dyDescent="0.2">
      <c r="A197" s="22" t="s">
        <v>161</v>
      </c>
      <c r="B197" s="23" t="s">
        <v>8</v>
      </c>
      <c r="C197" s="23" t="s">
        <v>9</v>
      </c>
      <c r="D197" s="24" t="s">
        <v>30</v>
      </c>
      <c r="E197" s="24" t="s">
        <v>24</v>
      </c>
      <c r="F197" s="18"/>
      <c r="G197" s="19">
        <v>18.822399999999998</v>
      </c>
      <c r="H197" s="20">
        <v>7.1738</v>
      </c>
      <c r="I197" s="21"/>
      <c r="J197" s="20">
        <v>1176.8929000000001</v>
      </c>
      <c r="K197" s="20">
        <v>487.85019999999997</v>
      </c>
    </row>
    <row r="198" spans="1:11" ht="15" customHeight="1" x14ac:dyDescent="0.2">
      <c r="A198" s="22" t="s">
        <v>162</v>
      </c>
      <c r="B198" s="23" t="s">
        <v>8</v>
      </c>
      <c r="C198" s="23" t="s">
        <v>9</v>
      </c>
      <c r="D198" s="24" t="s">
        <v>20</v>
      </c>
      <c r="E198" s="24" t="s">
        <v>26</v>
      </c>
      <c r="F198" s="18">
        <v>1.24</v>
      </c>
      <c r="G198" s="19">
        <v>2.9891000000000001</v>
      </c>
      <c r="H198" s="20">
        <v>0.81240000000000001</v>
      </c>
      <c r="I198" s="21">
        <v>69.486800000000002</v>
      </c>
      <c r="J198" s="20">
        <v>154.24979999999999</v>
      </c>
      <c r="K198" s="20">
        <v>41.637500000000003</v>
      </c>
    </row>
    <row r="199" spans="1:11" ht="15" customHeight="1" x14ac:dyDescent="0.2">
      <c r="A199" s="22" t="s">
        <v>163</v>
      </c>
      <c r="B199" s="23" t="s">
        <v>8</v>
      </c>
      <c r="C199" s="23" t="s">
        <v>9</v>
      </c>
      <c r="D199" s="24" t="s">
        <v>20</v>
      </c>
      <c r="E199" s="24" t="s">
        <v>103</v>
      </c>
      <c r="F199" s="18">
        <v>1.1599999999999999</v>
      </c>
      <c r="G199" s="19">
        <v>1.8923000000000001</v>
      </c>
      <c r="H199" s="20"/>
      <c r="I199" s="21">
        <v>44.862200000000001</v>
      </c>
      <c r="J199" s="20">
        <v>87.694800000000001</v>
      </c>
      <c r="K199" s="20"/>
    </row>
    <row r="200" spans="1:11" ht="15" customHeight="1" x14ac:dyDescent="0.2">
      <c r="A200" s="22" t="s">
        <v>820</v>
      </c>
      <c r="B200" s="23" t="s">
        <v>8</v>
      </c>
      <c r="C200" s="23" t="s">
        <v>9</v>
      </c>
      <c r="D200" s="24" t="s">
        <v>10</v>
      </c>
      <c r="E200" s="24" t="s">
        <v>68</v>
      </c>
      <c r="F200" s="18"/>
      <c r="G200" s="19">
        <v>14.477</v>
      </c>
      <c r="H200" s="20">
        <v>3.1046999999999998</v>
      </c>
      <c r="I200" s="21"/>
      <c r="J200" s="20">
        <v>762.29949999999997</v>
      </c>
      <c r="K200" s="20">
        <v>149.91970000000001</v>
      </c>
    </row>
    <row r="201" spans="1:11" ht="15" customHeight="1" x14ac:dyDescent="0.2">
      <c r="A201" s="14" t="s">
        <v>164</v>
      </c>
      <c r="B201" s="15" t="s">
        <v>6</v>
      </c>
      <c r="C201" s="16"/>
      <c r="D201" s="17"/>
      <c r="E201" s="17"/>
      <c r="F201" s="18">
        <v>0.25940000000000002</v>
      </c>
      <c r="G201" s="19">
        <v>52.957299999999996</v>
      </c>
      <c r="H201" s="20">
        <v>23.471399999999999</v>
      </c>
      <c r="I201" s="21">
        <v>15.5664</v>
      </c>
      <c r="J201" s="20">
        <v>2545.1428999999998</v>
      </c>
      <c r="K201" s="20">
        <v>1037.0354</v>
      </c>
    </row>
    <row r="202" spans="1:11" ht="15" customHeight="1" x14ac:dyDescent="0.2">
      <c r="A202" s="22" t="s">
        <v>165</v>
      </c>
      <c r="B202" s="23" t="s">
        <v>8</v>
      </c>
      <c r="C202" s="23" t="s">
        <v>9</v>
      </c>
      <c r="D202" s="24" t="s">
        <v>30</v>
      </c>
      <c r="E202" s="24" t="s">
        <v>24</v>
      </c>
      <c r="F202" s="18">
        <v>0.25940000000000002</v>
      </c>
      <c r="G202" s="19">
        <v>47.287300000000002</v>
      </c>
      <c r="H202" s="20">
        <v>13.3363</v>
      </c>
      <c r="I202" s="21">
        <v>15.5664</v>
      </c>
      <c r="J202" s="20">
        <v>2338.1842000000001</v>
      </c>
      <c r="K202" s="20">
        <v>671.9117</v>
      </c>
    </row>
    <row r="203" spans="1:11" ht="15" customHeight="1" x14ac:dyDescent="0.2">
      <c r="A203" s="22" t="s">
        <v>166</v>
      </c>
      <c r="B203" s="23" t="s">
        <v>8</v>
      </c>
      <c r="C203" s="23" t="s">
        <v>9</v>
      </c>
      <c r="D203" s="24" t="s">
        <v>30</v>
      </c>
      <c r="E203" s="24" t="s">
        <v>26</v>
      </c>
      <c r="F203" s="18"/>
      <c r="G203" s="19">
        <v>5.6702000000000004</v>
      </c>
      <c r="H203" s="20">
        <v>10.135199999999999</v>
      </c>
      <c r="I203" s="21"/>
      <c r="J203" s="20">
        <v>206.95869999999999</v>
      </c>
      <c r="K203" s="20">
        <v>365.12360000000001</v>
      </c>
    </row>
    <row r="204" spans="1:11" ht="14.25" customHeight="1" x14ac:dyDescent="0.2">
      <c r="A204" s="25" t="s">
        <v>739</v>
      </c>
      <c r="B204" s="4" t="s">
        <v>5</v>
      </c>
      <c r="C204" s="4"/>
      <c r="D204" s="5"/>
      <c r="E204" s="5"/>
      <c r="F204" s="10"/>
      <c r="G204" s="11">
        <v>170.6652</v>
      </c>
      <c r="H204" s="12">
        <v>101.533</v>
      </c>
      <c r="I204" s="13"/>
      <c r="J204" s="12">
        <v>10947.355799999999</v>
      </c>
      <c r="K204" s="12">
        <v>5713.8589000000002</v>
      </c>
    </row>
    <row r="205" spans="1:11" ht="15" customHeight="1" x14ac:dyDescent="0.2">
      <c r="A205" s="14" t="s">
        <v>868</v>
      </c>
      <c r="B205" s="15" t="s">
        <v>6</v>
      </c>
      <c r="C205" s="16"/>
      <c r="D205" s="17"/>
      <c r="E205" s="17"/>
      <c r="F205" s="18"/>
      <c r="G205" s="19">
        <v>170.6652</v>
      </c>
      <c r="H205" s="20">
        <v>101.533</v>
      </c>
      <c r="I205" s="21"/>
      <c r="J205" s="20">
        <v>10947.355799999999</v>
      </c>
      <c r="K205" s="20">
        <v>5713.8589000000002</v>
      </c>
    </row>
    <row r="206" spans="1:11" ht="15" customHeight="1" x14ac:dyDescent="0.2">
      <c r="A206" s="22" t="s">
        <v>167</v>
      </c>
      <c r="B206" s="23" t="s">
        <v>8</v>
      </c>
      <c r="C206" s="23" t="s">
        <v>9</v>
      </c>
      <c r="D206" s="24" t="s">
        <v>64</v>
      </c>
      <c r="E206" s="24" t="s">
        <v>24</v>
      </c>
      <c r="F206" s="18"/>
      <c r="G206" s="19">
        <v>82.250100000000003</v>
      </c>
      <c r="H206" s="20">
        <v>55.842500000000001</v>
      </c>
      <c r="I206" s="21"/>
      <c r="J206" s="20">
        <v>5284.8972000000003</v>
      </c>
      <c r="K206" s="20">
        <v>3137.2123999999999</v>
      </c>
    </row>
    <row r="207" spans="1:11" ht="15" customHeight="1" x14ac:dyDescent="0.2">
      <c r="A207" s="22" t="s">
        <v>168</v>
      </c>
      <c r="B207" s="23" t="s">
        <v>8</v>
      </c>
      <c r="C207" s="23" t="s">
        <v>9</v>
      </c>
      <c r="D207" s="24" t="s">
        <v>64</v>
      </c>
      <c r="E207" s="24" t="s">
        <v>24</v>
      </c>
      <c r="F207" s="18"/>
      <c r="G207" s="19">
        <v>88.414900000000003</v>
      </c>
      <c r="H207" s="20">
        <v>45.6905</v>
      </c>
      <c r="I207" s="21"/>
      <c r="J207" s="20">
        <v>5662.4585999999999</v>
      </c>
      <c r="K207" s="20">
        <v>2576.6464000000001</v>
      </c>
    </row>
    <row r="208" spans="1:11" ht="14.25" customHeight="1" x14ac:dyDescent="0.2">
      <c r="A208" s="25" t="s">
        <v>740</v>
      </c>
      <c r="B208" s="4" t="s">
        <v>5</v>
      </c>
      <c r="C208" s="4"/>
      <c r="D208" s="5"/>
      <c r="E208" s="5"/>
      <c r="F208" s="10">
        <v>0.24010000000000001</v>
      </c>
      <c r="G208" s="11"/>
      <c r="H208" s="12"/>
      <c r="I208" s="13">
        <v>10.8056</v>
      </c>
      <c r="J208" s="12"/>
      <c r="K208" s="12"/>
    </row>
    <row r="209" spans="1:11" ht="15" customHeight="1" x14ac:dyDescent="0.2">
      <c r="A209" s="14" t="s">
        <v>869</v>
      </c>
      <c r="B209" s="15" t="s">
        <v>6</v>
      </c>
      <c r="C209" s="16"/>
      <c r="D209" s="17"/>
      <c r="E209" s="17"/>
      <c r="F209" s="18">
        <v>0.24010000000000001</v>
      </c>
      <c r="G209" s="19"/>
      <c r="H209" s="20"/>
      <c r="I209" s="21">
        <v>10.8056</v>
      </c>
      <c r="J209" s="20"/>
      <c r="K209" s="20"/>
    </row>
    <row r="210" spans="1:11" ht="15" customHeight="1" x14ac:dyDescent="0.2">
      <c r="A210" s="22" t="s">
        <v>169</v>
      </c>
      <c r="B210" s="23" t="s">
        <v>8</v>
      </c>
      <c r="C210" s="23" t="s">
        <v>9</v>
      </c>
      <c r="D210" s="24" t="s">
        <v>20</v>
      </c>
      <c r="E210" s="24" t="s">
        <v>42</v>
      </c>
      <c r="F210" s="18">
        <v>0.24010000000000001</v>
      </c>
      <c r="G210" s="19"/>
      <c r="H210" s="20"/>
      <c r="I210" s="21">
        <v>10.8056</v>
      </c>
      <c r="J210" s="20"/>
      <c r="K210" s="20"/>
    </row>
    <row r="211" spans="1:11" ht="14.25" customHeight="1" x14ac:dyDescent="0.2">
      <c r="A211" s="25" t="s">
        <v>741</v>
      </c>
      <c r="B211" s="4" t="s">
        <v>5</v>
      </c>
      <c r="C211" s="4"/>
      <c r="D211" s="5"/>
      <c r="E211" s="5"/>
      <c r="F211" s="10">
        <v>8.6900999999999993</v>
      </c>
      <c r="G211" s="11">
        <v>1.1979</v>
      </c>
      <c r="H211" s="12">
        <v>0.1404</v>
      </c>
      <c r="I211" s="13">
        <v>161.07130000000001</v>
      </c>
      <c r="J211" s="12">
        <v>29.083500000000001</v>
      </c>
      <c r="K211" s="12">
        <v>1.4401999999999999</v>
      </c>
    </row>
    <row r="212" spans="1:11" ht="15" customHeight="1" x14ac:dyDescent="0.2">
      <c r="A212" s="14" t="s">
        <v>170</v>
      </c>
      <c r="B212" s="15" t="s">
        <v>6</v>
      </c>
      <c r="C212" s="16"/>
      <c r="D212" s="17"/>
      <c r="E212" s="17"/>
      <c r="F212" s="18">
        <v>8.6900999999999993</v>
      </c>
      <c r="G212" s="19">
        <v>1.1979</v>
      </c>
      <c r="H212" s="20">
        <v>0.1404</v>
      </c>
      <c r="I212" s="21">
        <v>161.07130000000001</v>
      </c>
      <c r="J212" s="20">
        <v>29.083500000000001</v>
      </c>
      <c r="K212" s="20">
        <v>1.4401999999999999</v>
      </c>
    </row>
    <row r="213" spans="1:11" ht="15" customHeight="1" x14ac:dyDescent="0.2">
      <c r="A213" s="22" t="s">
        <v>171</v>
      </c>
      <c r="B213" s="23" t="s">
        <v>8</v>
      </c>
      <c r="C213" s="23" t="s">
        <v>9</v>
      </c>
      <c r="D213" s="24" t="s">
        <v>30</v>
      </c>
      <c r="E213" s="24" t="s">
        <v>11</v>
      </c>
      <c r="F213" s="18">
        <v>8.8999999999999999E-3</v>
      </c>
      <c r="G213" s="19">
        <v>1.9E-3</v>
      </c>
      <c r="H213" s="20"/>
      <c r="I213" s="21">
        <v>0.1</v>
      </c>
      <c r="J213" s="20">
        <v>0.02</v>
      </c>
      <c r="K213" s="20"/>
    </row>
    <row r="214" spans="1:11" ht="15" customHeight="1" x14ac:dyDescent="0.2">
      <c r="A214" s="22" t="s">
        <v>172</v>
      </c>
      <c r="B214" s="23" t="s">
        <v>8</v>
      </c>
      <c r="C214" s="23" t="s">
        <v>9</v>
      </c>
      <c r="D214" s="24" t="s">
        <v>30</v>
      </c>
      <c r="E214" s="24" t="s">
        <v>11</v>
      </c>
      <c r="F214" s="18">
        <v>3.6436000000000002</v>
      </c>
      <c r="G214" s="19">
        <v>0.20610000000000001</v>
      </c>
      <c r="H214" s="20">
        <v>0.1404</v>
      </c>
      <c r="I214" s="21">
        <v>40.526699999999998</v>
      </c>
      <c r="J214" s="20">
        <v>2.1286999999999998</v>
      </c>
      <c r="K214" s="20">
        <v>1.4401999999999999</v>
      </c>
    </row>
    <row r="215" spans="1:11" ht="15" customHeight="1" x14ac:dyDescent="0.2">
      <c r="A215" s="22" t="s">
        <v>173</v>
      </c>
      <c r="B215" s="23" t="s">
        <v>8</v>
      </c>
      <c r="C215" s="23" t="s">
        <v>9</v>
      </c>
      <c r="D215" s="24" t="s">
        <v>30</v>
      </c>
      <c r="E215" s="24" t="s">
        <v>37</v>
      </c>
      <c r="F215" s="18">
        <v>4.9200000000000001E-2</v>
      </c>
      <c r="G215" s="19">
        <v>1.14E-2</v>
      </c>
      <c r="H215" s="20"/>
      <c r="I215" s="21">
        <v>3.4851000000000001</v>
      </c>
      <c r="J215" s="20">
        <v>0.25600000000000001</v>
      </c>
      <c r="K215" s="20"/>
    </row>
    <row r="216" spans="1:11" ht="15" customHeight="1" x14ac:dyDescent="0.2">
      <c r="A216" s="22" t="s">
        <v>174</v>
      </c>
      <c r="B216" s="23" t="s">
        <v>8</v>
      </c>
      <c r="C216" s="23" t="s">
        <v>9</v>
      </c>
      <c r="D216" s="24" t="s">
        <v>30</v>
      </c>
      <c r="E216" s="24" t="s">
        <v>37</v>
      </c>
      <c r="F216" s="18">
        <v>4.9882</v>
      </c>
      <c r="G216" s="19">
        <v>0.97860000000000003</v>
      </c>
      <c r="H216" s="20"/>
      <c r="I216" s="21">
        <v>116.9594</v>
      </c>
      <c r="J216" s="20">
        <v>26.678799999999999</v>
      </c>
      <c r="K216" s="20"/>
    </row>
    <row r="217" spans="1:11" ht="14.25" customHeight="1" x14ac:dyDescent="0.2">
      <c r="A217" s="25" t="s">
        <v>742</v>
      </c>
      <c r="B217" s="4" t="s">
        <v>5</v>
      </c>
      <c r="C217" s="4"/>
      <c r="D217" s="5"/>
      <c r="E217" s="5"/>
      <c r="F217" s="10">
        <v>15.6523</v>
      </c>
      <c r="G217" s="11">
        <v>38.264400000000002</v>
      </c>
      <c r="H217" s="12">
        <v>12.5626</v>
      </c>
      <c r="I217" s="13">
        <v>709.8646</v>
      </c>
      <c r="J217" s="12">
        <v>1422.4413</v>
      </c>
      <c r="K217" s="12">
        <v>440.17869999999999</v>
      </c>
    </row>
    <row r="218" spans="1:11" ht="15" customHeight="1" x14ac:dyDescent="0.2">
      <c r="A218" s="14" t="s">
        <v>870</v>
      </c>
      <c r="B218" s="15" t="s">
        <v>6</v>
      </c>
      <c r="C218" s="16"/>
      <c r="D218" s="17"/>
      <c r="E218" s="17"/>
      <c r="F218" s="18">
        <v>15.6523</v>
      </c>
      <c r="G218" s="19">
        <v>38.264400000000002</v>
      </c>
      <c r="H218" s="20">
        <v>12.5626</v>
      </c>
      <c r="I218" s="21">
        <v>709.8646</v>
      </c>
      <c r="J218" s="20">
        <v>1422.4413</v>
      </c>
      <c r="K218" s="20">
        <v>440.17869999999999</v>
      </c>
    </row>
    <row r="219" spans="1:11" ht="15" customHeight="1" x14ac:dyDescent="0.2">
      <c r="A219" s="22" t="s">
        <v>175</v>
      </c>
      <c r="B219" s="23" t="s">
        <v>8</v>
      </c>
      <c r="C219" s="23" t="s">
        <v>9</v>
      </c>
      <c r="D219" s="24" t="s">
        <v>30</v>
      </c>
      <c r="E219" s="24" t="s">
        <v>15</v>
      </c>
      <c r="F219" s="18"/>
      <c r="G219" s="19"/>
      <c r="H219" s="20">
        <v>0.16420000000000001</v>
      </c>
      <c r="I219" s="21"/>
      <c r="J219" s="20"/>
      <c r="K219" s="20">
        <v>5.0327000000000002</v>
      </c>
    </row>
    <row r="220" spans="1:11" ht="15" customHeight="1" x14ac:dyDescent="0.2">
      <c r="A220" s="22" t="s">
        <v>176</v>
      </c>
      <c r="B220" s="23" t="s">
        <v>8</v>
      </c>
      <c r="C220" s="23" t="s">
        <v>9</v>
      </c>
      <c r="D220" s="24" t="s">
        <v>30</v>
      </c>
      <c r="E220" s="24" t="s">
        <v>34</v>
      </c>
      <c r="F220" s="18">
        <v>2.3513000000000002</v>
      </c>
      <c r="G220" s="19">
        <v>13.7189</v>
      </c>
      <c r="H220" s="20">
        <v>5.1338999999999997</v>
      </c>
      <c r="I220" s="21">
        <v>93.938999999999993</v>
      </c>
      <c r="J220" s="20">
        <v>476.75330000000002</v>
      </c>
      <c r="K220" s="20">
        <v>161.36660000000001</v>
      </c>
    </row>
    <row r="221" spans="1:11" ht="15" customHeight="1" x14ac:dyDescent="0.2">
      <c r="A221" s="22" t="s">
        <v>177</v>
      </c>
      <c r="B221" s="23" t="s">
        <v>8</v>
      </c>
      <c r="C221" s="23" t="s">
        <v>9</v>
      </c>
      <c r="D221" s="24" t="s">
        <v>30</v>
      </c>
      <c r="E221" s="24" t="s">
        <v>99</v>
      </c>
      <c r="F221" s="18">
        <v>7.0484</v>
      </c>
      <c r="G221" s="19">
        <v>24.545400000000001</v>
      </c>
      <c r="H221" s="20">
        <v>7.2644000000000002</v>
      </c>
      <c r="I221" s="21">
        <v>315.70249999999999</v>
      </c>
      <c r="J221" s="20">
        <v>945.68759999999997</v>
      </c>
      <c r="K221" s="20">
        <v>273.77960000000002</v>
      </c>
    </row>
    <row r="222" spans="1:11" ht="15" customHeight="1" x14ac:dyDescent="0.2">
      <c r="A222" s="22" t="s">
        <v>178</v>
      </c>
      <c r="B222" s="23" t="s">
        <v>8</v>
      </c>
      <c r="C222" s="23" t="s">
        <v>9</v>
      </c>
      <c r="D222" s="24" t="s">
        <v>30</v>
      </c>
      <c r="E222" s="24" t="s">
        <v>99</v>
      </c>
      <c r="F222" s="18">
        <v>6.2529000000000003</v>
      </c>
      <c r="G222" s="19"/>
      <c r="H222" s="20"/>
      <c r="I222" s="21">
        <v>300.22300000000001</v>
      </c>
      <c r="J222" s="20"/>
      <c r="K222" s="20"/>
    </row>
    <row r="223" spans="1:11" ht="14.25" customHeight="1" x14ac:dyDescent="0.2">
      <c r="A223" s="25" t="s">
        <v>743</v>
      </c>
      <c r="B223" s="4" t="s">
        <v>5</v>
      </c>
      <c r="C223" s="4"/>
      <c r="D223" s="5"/>
      <c r="E223" s="5"/>
      <c r="F223" s="10">
        <v>9.2643000000000004</v>
      </c>
      <c r="G223" s="11">
        <v>0.1729</v>
      </c>
      <c r="H223" s="12">
        <v>3.0000000000000001E-3</v>
      </c>
      <c r="I223" s="13">
        <v>358.95979999999997</v>
      </c>
      <c r="J223" s="12">
        <v>4.9572000000000003</v>
      </c>
      <c r="K223" s="12">
        <v>7.1999999999999995E-2</v>
      </c>
    </row>
    <row r="224" spans="1:11" ht="15" customHeight="1" x14ac:dyDescent="0.2">
      <c r="A224" s="14" t="s">
        <v>179</v>
      </c>
      <c r="B224" s="15" t="s">
        <v>6</v>
      </c>
      <c r="C224" s="16"/>
      <c r="D224" s="17"/>
      <c r="E224" s="17"/>
      <c r="F224" s="18">
        <v>9.2643000000000004</v>
      </c>
      <c r="G224" s="19">
        <v>0.1729</v>
      </c>
      <c r="H224" s="20">
        <v>3.0000000000000001E-3</v>
      </c>
      <c r="I224" s="21">
        <v>358.95979999999997</v>
      </c>
      <c r="J224" s="20">
        <v>4.9572000000000003</v>
      </c>
      <c r="K224" s="20">
        <v>7.1999999999999995E-2</v>
      </c>
    </row>
    <row r="225" spans="1:11" ht="15" customHeight="1" x14ac:dyDescent="0.2">
      <c r="A225" s="22" t="s">
        <v>180</v>
      </c>
      <c r="B225" s="23" t="s">
        <v>8</v>
      </c>
      <c r="C225" s="23" t="s">
        <v>9</v>
      </c>
      <c r="D225" s="24" t="s">
        <v>20</v>
      </c>
      <c r="E225" s="24" t="s">
        <v>42</v>
      </c>
      <c r="F225" s="18">
        <v>1.6668000000000001</v>
      </c>
      <c r="G225" s="19">
        <v>3.7600000000000001E-2</v>
      </c>
      <c r="H225" s="20"/>
      <c r="I225" s="21">
        <v>75.837299999999999</v>
      </c>
      <c r="J225" s="20">
        <v>1.6555</v>
      </c>
      <c r="K225" s="20"/>
    </row>
    <row r="226" spans="1:11" ht="15" customHeight="1" x14ac:dyDescent="0.2">
      <c r="A226" s="22" t="s">
        <v>181</v>
      </c>
      <c r="B226" s="23" t="s">
        <v>8</v>
      </c>
      <c r="C226" s="23" t="s">
        <v>9</v>
      </c>
      <c r="D226" s="24" t="s">
        <v>20</v>
      </c>
      <c r="E226" s="24" t="s">
        <v>42</v>
      </c>
      <c r="F226" s="18">
        <v>7.5975000000000001</v>
      </c>
      <c r="G226" s="19">
        <v>0.1353</v>
      </c>
      <c r="H226" s="20">
        <v>3.0000000000000001E-3</v>
      </c>
      <c r="I226" s="21">
        <v>283.12259999999998</v>
      </c>
      <c r="J226" s="20">
        <v>3.3016999999999999</v>
      </c>
      <c r="K226" s="20">
        <v>7.1999999999999995E-2</v>
      </c>
    </row>
    <row r="227" spans="1:11" ht="14.25" customHeight="1" x14ac:dyDescent="0.2">
      <c r="A227" s="25" t="s">
        <v>744</v>
      </c>
      <c r="B227" s="4" t="s">
        <v>5</v>
      </c>
      <c r="C227" s="4"/>
      <c r="D227" s="5"/>
      <c r="E227" s="5"/>
      <c r="F227" s="10">
        <v>1012.9229</v>
      </c>
      <c r="G227" s="11">
        <v>822.98099999999999</v>
      </c>
      <c r="H227" s="12">
        <v>367.98759999999999</v>
      </c>
      <c r="I227" s="13">
        <v>57405.585500000001</v>
      </c>
      <c r="J227" s="12">
        <v>44546.773000000001</v>
      </c>
      <c r="K227" s="12">
        <v>18766.233499999998</v>
      </c>
    </row>
    <row r="228" spans="1:11" ht="15" customHeight="1" x14ac:dyDescent="0.2">
      <c r="A228" s="14" t="s">
        <v>182</v>
      </c>
      <c r="B228" s="15" t="s">
        <v>6</v>
      </c>
      <c r="C228" s="16"/>
      <c r="D228" s="17"/>
      <c r="E228" s="17"/>
      <c r="F228" s="18">
        <v>2.5741999999999998</v>
      </c>
      <c r="G228" s="19">
        <v>0.58250000000000002</v>
      </c>
      <c r="H228" s="20">
        <v>9.0300000000000005E-2</v>
      </c>
      <c r="I228" s="21">
        <v>138.52269999999999</v>
      </c>
      <c r="J228" s="20">
        <v>28.354600000000001</v>
      </c>
      <c r="K228" s="20">
        <v>3.9451999999999998</v>
      </c>
    </row>
    <row r="229" spans="1:11" ht="15" customHeight="1" x14ac:dyDescent="0.2">
      <c r="A229" s="22" t="s">
        <v>183</v>
      </c>
      <c r="B229" s="23" t="s">
        <v>8</v>
      </c>
      <c r="C229" s="23" t="s">
        <v>9</v>
      </c>
      <c r="D229" s="24" t="s">
        <v>30</v>
      </c>
      <c r="E229" s="24" t="s">
        <v>42</v>
      </c>
      <c r="F229" s="18">
        <v>2.5741999999999998</v>
      </c>
      <c r="G229" s="19">
        <v>0.57930000000000004</v>
      </c>
      <c r="H229" s="20">
        <v>9.0300000000000005E-2</v>
      </c>
      <c r="I229" s="21">
        <v>138.52269999999999</v>
      </c>
      <c r="J229" s="20">
        <v>28.2058</v>
      </c>
      <c r="K229" s="20">
        <v>3.9451999999999998</v>
      </c>
    </row>
    <row r="230" spans="1:11" ht="15" customHeight="1" x14ac:dyDescent="0.2">
      <c r="A230" s="22" t="s">
        <v>184</v>
      </c>
      <c r="B230" s="23" t="s">
        <v>8</v>
      </c>
      <c r="C230" s="23" t="s">
        <v>9</v>
      </c>
      <c r="D230" s="24" t="s">
        <v>10</v>
      </c>
      <c r="E230" s="24" t="s">
        <v>42</v>
      </c>
      <c r="F230" s="18"/>
      <c r="G230" s="19">
        <v>3.2000000000000002E-3</v>
      </c>
      <c r="H230" s="20"/>
      <c r="I230" s="21"/>
      <c r="J230" s="20">
        <v>0.14879999999999999</v>
      </c>
      <c r="K230" s="20"/>
    </row>
    <row r="231" spans="1:11" ht="15" customHeight="1" x14ac:dyDescent="0.2">
      <c r="A231" s="14" t="s">
        <v>185</v>
      </c>
      <c r="B231" s="15" t="s">
        <v>6</v>
      </c>
      <c r="C231" s="16"/>
      <c r="D231" s="17"/>
      <c r="E231" s="17"/>
      <c r="F231" s="18">
        <v>30.201799999999999</v>
      </c>
      <c r="G231" s="19">
        <v>8.3574999999999999</v>
      </c>
      <c r="H231" s="20">
        <v>2.2814000000000001</v>
      </c>
      <c r="I231" s="21">
        <v>1834.3515</v>
      </c>
      <c r="J231" s="20">
        <v>456.8947</v>
      </c>
      <c r="K231" s="20">
        <v>133.4556</v>
      </c>
    </row>
    <row r="232" spans="1:11" ht="15" customHeight="1" x14ac:dyDescent="0.2">
      <c r="A232" s="22" t="s">
        <v>186</v>
      </c>
      <c r="B232" s="23" t="s">
        <v>8</v>
      </c>
      <c r="C232" s="23" t="s">
        <v>9</v>
      </c>
      <c r="D232" s="24" t="s">
        <v>20</v>
      </c>
      <c r="E232" s="24" t="s">
        <v>24</v>
      </c>
      <c r="F232" s="18">
        <v>29.782299999999999</v>
      </c>
      <c r="G232" s="19">
        <v>8.0821000000000005</v>
      </c>
      <c r="H232" s="20">
        <v>2.2058</v>
      </c>
      <c r="I232" s="21">
        <v>1812.3146999999999</v>
      </c>
      <c r="J232" s="20">
        <v>442.9864</v>
      </c>
      <c r="K232" s="20">
        <v>129.73259999999999</v>
      </c>
    </row>
    <row r="233" spans="1:11" ht="15" customHeight="1" x14ac:dyDescent="0.2">
      <c r="A233" s="22" t="s">
        <v>187</v>
      </c>
      <c r="B233" s="23" t="s">
        <v>8</v>
      </c>
      <c r="C233" s="23" t="s">
        <v>9</v>
      </c>
      <c r="D233" s="24" t="s">
        <v>10</v>
      </c>
      <c r="E233" s="24" t="s">
        <v>37</v>
      </c>
      <c r="F233" s="18">
        <v>0.4194</v>
      </c>
      <c r="G233" s="19">
        <v>0.27539999999999998</v>
      </c>
      <c r="H233" s="20">
        <v>7.5600000000000001E-2</v>
      </c>
      <c r="I233" s="21">
        <v>22.036999999999999</v>
      </c>
      <c r="J233" s="20">
        <v>13.908200000000001</v>
      </c>
      <c r="K233" s="20">
        <v>3.7229000000000001</v>
      </c>
    </row>
    <row r="234" spans="1:11" ht="15" customHeight="1" x14ac:dyDescent="0.2">
      <c r="A234" s="22" t="s">
        <v>188</v>
      </c>
      <c r="B234" s="23" t="s">
        <v>8</v>
      </c>
      <c r="C234" s="23" t="s">
        <v>9</v>
      </c>
      <c r="D234" s="24" t="s">
        <v>10</v>
      </c>
      <c r="E234" s="24" t="s">
        <v>37</v>
      </c>
      <c r="F234" s="18"/>
      <c r="G234" s="19"/>
      <c r="H234" s="20"/>
      <c r="I234" s="21"/>
      <c r="J234" s="20"/>
      <c r="K234" s="20"/>
    </row>
    <row r="235" spans="1:11" ht="15" customHeight="1" x14ac:dyDescent="0.2">
      <c r="A235" s="14" t="s">
        <v>189</v>
      </c>
      <c r="B235" s="15" t="s">
        <v>6</v>
      </c>
      <c r="C235" s="16"/>
      <c r="D235" s="17"/>
      <c r="E235" s="17"/>
      <c r="F235" s="18">
        <v>447.58159999999998</v>
      </c>
      <c r="G235" s="19">
        <v>351.95119999999997</v>
      </c>
      <c r="H235" s="20">
        <v>140.74770000000001</v>
      </c>
      <c r="I235" s="21">
        <v>23420.140299999999</v>
      </c>
      <c r="J235" s="20">
        <v>17186.2664</v>
      </c>
      <c r="K235" s="20">
        <v>6668.4120999999996</v>
      </c>
    </row>
    <row r="236" spans="1:11" ht="15" customHeight="1" x14ac:dyDescent="0.2">
      <c r="A236" s="22" t="s">
        <v>190</v>
      </c>
      <c r="B236" s="23" t="s">
        <v>8</v>
      </c>
      <c r="C236" s="23" t="s">
        <v>9</v>
      </c>
      <c r="D236" s="24" t="s">
        <v>20</v>
      </c>
      <c r="E236" s="24" t="s">
        <v>21</v>
      </c>
      <c r="F236" s="18"/>
      <c r="G236" s="19"/>
      <c r="H236" s="20"/>
      <c r="I236" s="21"/>
      <c r="J236" s="20"/>
      <c r="K236" s="20"/>
    </row>
    <row r="237" spans="1:11" ht="15" customHeight="1" x14ac:dyDescent="0.2">
      <c r="A237" s="22" t="s">
        <v>191</v>
      </c>
      <c r="B237" s="23" t="s">
        <v>8</v>
      </c>
      <c r="C237" s="23" t="s">
        <v>9</v>
      </c>
      <c r="D237" s="24" t="s">
        <v>20</v>
      </c>
      <c r="E237" s="24" t="s">
        <v>24</v>
      </c>
      <c r="F237" s="18">
        <v>393.93759999999997</v>
      </c>
      <c r="G237" s="19">
        <v>316.5532</v>
      </c>
      <c r="H237" s="20">
        <v>120.4361</v>
      </c>
      <c r="I237" s="21">
        <v>20334.628400000001</v>
      </c>
      <c r="J237" s="20">
        <v>15456.115599999999</v>
      </c>
      <c r="K237" s="20">
        <v>5660.8364000000001</v>
      </c>
    </row>
    <row r="238" spans="1:11" ht="15" customHeight="1" x14ac:dyDescent="0.2">
      <c r="A238" s="22" t="s">
        <v>192</v>
      </c>
      <c r="B238" s="23" t="s">
        <v>8</v>
      </c>
      <c r="C238" s="23" t="s">
        <v>9</v>
      </c>
      <c r="D238" s="24" t="s">
        <v>20</v>
      </c>
      <c r="E238" s="24" t="s">
        <v>42</v>
      </c>
      <c r="F238" s="18">
        <v>11.008699999999999</v>
      </c>
      <c r="G238" s="19"/>
      <c r="H238" s="20"/>
      <c r="I238" s="21">
        <v>653.37990000000002</v>
      </c>
      <c r="J238" s="20"/>
      <c r="K238" s="20"/>
    </row>
    <row r="239" spans="1:11" ht="15" customHeight="1" x14ac:dyDescent="0.2">
      <c r="A239" s="22" t="s">
        <v>193</v>
      </c>
      <c r="B239" s="23" t="s">
        <v>8</v>
      </c>
      <c r="C239" s="23" t="s">
        <v>9</v>
      </c>
      <c r="D239" s="24" t="s">
        <v>20</v>
      </c>
      <c r="E239" s="24" t="s">
        <v>42</v>
      </c>
      <c r="F239" s="18">
        <v>6.3380999999999998</v>
      </c>
      <c r="G239" s="19">
        <v>2.2010000000000001</v>
      </c>
      <c r="H239" s="20">
        <v>4.9340999999999999</v>
      </c>
      <c r="I239" s="21">
        <v>360.70839999999998</v>
      </c>
      <c r="J239" s="20">
        <v>122.7465</v>
      </c>
      <c r="K239" s="20">
        <v>260.16239999999999</v>
      </c>
    </row>
    <row r="240" spans="1:11" ht="15" customHeight="1" x14ac:dyDescent="0.2">
      <c r="A240" s="22" t="s">
        <v>194</v>
      </c>
      <c r="B240" s="23" t="s">
        <v>8</v>
      </c>
      <c r="C240" s="23" t="s">
        <v>9</v>
      </c>
      <c r="D240" s="24" t="s">
        <v>20</v>
      </c>
      <c r="E240" s="24" t="s">
        <v>42</v>
      </c>
      <c r="F240" s="18">
        <v>17.2865</v>
      </c>
      <c r="G240" s="19">
        <v>3.1953</v>
      </c>
      <c r="H240" s="20"/>
      <c r="I240" s="21">
        <v>1104.6166000000001</v>
      </c>
      <c r="J240" s="20">
        <v>157.0744</v>
      </c>
      <c r="K240" s="20"/>
    </row>
    <row r="241" spans="1:11" ht="15" customHeight="1" x14ac:dyDescent="0.2">
      <c r="A241" s="22" t="s">
        <v>195</v>
      </c>
      <c r="B241" s="23" t="s">
        <v>8</v>
      </c>
      <c r="C241" s="23" t="s">
        <v>9</v>
      </c>
      <c r="D241" s="24" t="s">
        <v>10</v>
      </c>
      <c r="E241" s="24" t="s">
        <v>42</v>
      </c>
      <c r="F241" s="18">
        <v>8.3360000000000003</v>
      </c>
      <c r="G241" s="19">
        <v>4.1882999999999999</v>
      </c>
      <c r="H241" s="20">
        <v>0.16869999999999999</v>
      </c>
      <c r="I241" s="21">
        <v>355.34039999999999</v>
      </c>
      <c r="J241" s="20">
        <v>181.6489</v>
      </c>
      <c r="K241" s="20">
        <v>7.0335999999999999</v>
      </c>
    </row>
    <row r="242" spans="1:11" ht="15" customHeight="1" x14ac:dyDescent="0.2">
      <c r="A242" s="22" t="s">
        <v>196</v>
      </c>
      <c r="B242" s="23" t="s">
        <v>8</v>
      </c>
      <c r="C242" s="23" t="s">
        <v>9</v>
      </c>
      <c r="D242" s="24" t="s">
        <v>30</v>
      </c>
      <c r="E242" s="24" t="s">
        <v>42</v>
      </c>
      <c r="F242" s="18">
        <v>10.51</v>
      </c>
      <c r="G242" s="19">
        <v>23.858699999999999</v>
      </c>
      <c r="H242" s="20">
        <v>12.9741</v>
      </c>
      <c r="I242" s="21">
        <v>602.08569999999997</v>
      </c>
      <c r="J242" s="20">
        <v>1188.0914</v>
      </c>
      <c r="K242" s="20">
        <v>658.29200000000003</v>
      </c>
    </row>
    <row r="243" spans="1:11" ht="15" customHeight="1" x14ac:dyDescent="0.2">
      <c r="A243" s="22" t="s">
        <v>197</v>
      </c>
      <c r="B243" s="23" t="s">
        <v>8</v>
      </c>
      <c r="C243" s="23" t="s">
        <v>9</v>
      </c>
      <c r="D243" s="24" t="s">
        <v>20</v>
      </c>
      <c r="E243" s="24" t="s">
        <v>42</v>
      </c>
      <c r="F243" s="18">
        <v>0.1246</v>
      </c>
      <c r="G243" s="19"/>
      <c r="H243" s="20">
        <v>4.1500000000000002E-2</v>
      </c>
      <c r="I243" s="21">
        <v>7.4763999999999999</v>
      </c>
      <c r="J243" s="20"/>
      <c r="K243" s="20">
        <v>3.0169000000000001</v>
      </c>
    </row>
    <row r="244" spans="1:11" ht="15" customHeight="1" x14ac:dyDescent="0.2">
      <c r="A244" s="22" t="s">
        <v>198</v>
      </c>
      <c r="B244" s="23" t="s">
        <v>8</v>
      </c>
      <c r="C244" s="23" t="s">
        <v>9</v>
      </c>
      <c r="D244" s="24" t="s">
        <v>20</v>
      </c>
      <c r="E244" s="24" t="s">
        <v>68</v>
      </c>
      <c r="F244" s="18"/>
      <c r="G244" s="19">
        <v>1.9545999999999999</v>
      </c>
      <c r="H244" s="20">
        <v>2.1882000000000001</v>
      </c>
      <c r="I244" s="21"/>
      <c r="J244" s="20">
        <v>80.589100000000002</v>
      </c>
      <c r="K244" s="20">
        <v>78.875</v>
      </c>
    </row>
    <row r="245" spans="1:11" ht="15" customHeight="1" x14ac:dyDescent="0.2">
      <c r="A245" s="22" t="s">
        <v>199</v>
      </c>
      <c r="B245" s="23" t="s">
        <v>8</v>
      </c>
      <c r="C245" s="23" t="s">
        <v>9</v>
      </c>
      <c r="D245" s="24" t="s">
        <v>64</v>
      </c>
      <c r="E245" s="24" t="s">
        <v>68</v>
      </c>
      <c r="F245" s="18">
        <v>4.02E-2</v>
      </c>
      <c r="G245" s="19"/>
      <c r="H245" s="20">
        <v>5.1000000000000004E-3</v>
      </c>
      <c r="I245" s="21">
        <v>1.9040999999999999</v>
      </c>
      <c r="J245" s="20"/>
      <c r="K245" s="20">
        <v>0.1958</v>
      </c>
    </row>
    <row r="246" spans="1:11" ht="15" customHeight="1" x14ac:dyDescent="0.2">
      <c r="A246" s="14" t="s">
        <v>200</v>
      </c>
      <c r="B246" s="15" t="s">
        <v>6</v>
      </c>
      <c r="C246" s="16"/>
      <c r="D246" s="17"/>
      <c r="E246" s="17"/>
      <c r="F246" s="18"/>
      <c r="G246" s="19">
        <v>6.88E-2</v>
      </c>
      <c r="H246" s="20">
        <v>1.5603</v>
      </c>
      <c r="I246" s="21"/>
      <c r="J246" s="20">
        <v>2.9011</v>
      </c>
      <c r="K246" s="20">
        <v>56.070300000000003</v>
      </c>
    </row>
    <row r="247" spans="1:11" ht="15" customHeight="1" x14ac:dyDescent="0.2">
      <c r="A247" s="22" t="s">
        <v>201</v>
      </c>
      <c r="B247" s="23" t="s">
        <v>8</v>
      </c>
      <c r="C247" s="23" t="s">
        <v>9</v>
      </c>
      <c r="D247" s="24" t="s">
        <v>20</v>
      </c>
      <c r="E247" s="24" t="s">
        <v>21</v>
      </c>
      <c r="F247" s="18"/>
      <c r="G247" s="19">
        <v>6.88E-2</v>
      </c>
      <c r="H247" s="20">
        <v>1.5603</v>
      </c>
      <c r="I247" s="21"/>
      <c r="J247" s="20">
        <v>2.9011</v>
      </c>
      <c r="K247" s="20">
        <v>56.070300000000003</v>
      </c>
    </row>
    <row r="248" spans="1:11" ht="15" customHeight="1" x14ac:dyDescent="0.2">
      <c r="A248" s="14" t="s">
        <v>202</v>
      </c>
      <c r="B248" s="15" t="s">
        <v>6</v>
      </c>
      <c r="C248" s="16"/>
      <c r="D248" s="17"/>
      <c r="E248" s="17"/>
      <c r="F248" s="18">
        <v>225.05289999999999</v>
      </c>
      <c r="G248" s="19">
        <v>160.9256</v>
      </c>
      <c r="H248" s="20">
        <v>66.089799999999997</v>
      </c>
      <c r="I248" s="21">
        <v>14096.87</v>
      </c>
      <c r="J248" s="20">
        <v>9843.2201000000005</v>
      </c>
      <c r="K248" s="20">
        <v>3643.3836000000001</v>
      </c>
    </row>
    <row r="249" spans="1:11" ht="15" customHeight="1" x14ac:dyDescent="0.2">
      <c r="A249" s="22" t="s">
        <v>203</v>
      </c>
      <c r="B249" s="23" t="s">
        <v>8</v>
      </c>
      <c r="C249" s="23" t="s">
        <v>9</v>
      </c>
      <c r="D249" s="24" t="s">
        <v>20</v>
      </c>
      <c r="E249" s="24" t="s">
        <v>42</v>
      </c>
      <c r="F249" s="18">
        <v>225.05289999999999</v>
      </c>
      <c r="G249" s="19">
        <v>160.9256</v>
      </c>
      <c r="H249" s="20">
        <v>66.089799999999997</v>
      </c>
      <c r="I249" s="21">
        <v>14096.87</v>
      </c>
      <c r="J249" s="20">
        <v>9843.2201000000005</v>
      </c>
      <c r="K249" s="20">
        <v>3643.3836000000001</v>
      </c>
    </row>
    <row r="250" spans="1:11" ht="15" customHeight="1" x14ac:dyDescent="0.2">
      <c r="A250" s="14" t="s">
        <v>204</v>
      </c>
      <c r="B250" s="15" t="s">
        <v>6</v>
      </c>
      <c r="C250" s="16"/>
      <c r="D250" s="17"/>
      <c r="E250" s="17"/>
      <c r="F250" s="18">
        <v>27.677700000000002</v>
      </c>
      <c r="G250" s="19">
        <v>22.1416</v>
      </c>
      <c r="H250" s="20">
        <v>9.0610999999999997</v>
      </c>
      <c r="I250" s="21">
        <v>1974.3932</v>
      </c>
      <c r="J250" s="20">
        <v>1482.2675999999999</v>
      </c>
      <c r="K250" s="20">
        <v>601.1807</v>
      </c>
    </row>
    <row r="251" spans="1:11" ht="15" customHeight="1" x14ac:dyDescent="0.2">
      <c r="A251" s="22" t="s">
        <v>205</v>
      </c>
      <c r="B251" s="23" t="s">
        <v>8</v>
      </c>
      <c r="C251" s="23" t="s">
        <v>9</v>
      </c>
      <c r="D251" s="24" t="s">
        <v>30</v>
      </c>
      <c r="E251" s="24" t="s">
        <v>42</v>
      </c>
      <c r="F251" s="18">
        <v>27.677700000000002</v>
      </c>
      <c r="G251" s="19">
        <v>22.1416</v>
      </c>
      <c r="H251" s="20">
        <v>9.0610999999999997</v>
      </c>
      <c r="I251" s="21">
        <v>1974.3932</v>
      </c>
      <c r="J251" s="20">
        <v>1482.2675999999999</v>
      </c>
      <c r="K251" s="20">
        <v>601.1807</v>
      </c>
    </row>
    <row r="252" spans="1:11" ht="15" customHeight="1" x14ac:dyDescent="0.2">
      <c r="A252" s="14" t="s">
        <v>206</v>
      </c>
      <c r="B252" s="15" t="s">
        <v>6</v>
      </c>
      <c r="C252" s="16"/>
      <c r="D252" s="17"/>
      <c r="E252" s="17"/>
      <c r="F252" s="18"/>
      <c r="G252" s="19"/>
      <c r="H252" s="20"/>
      <c r="I252" s="21"/>
      <c r="J252" s="20"/>
      <c r="K252" s="20"/>
    </row>
    <row r="253" spans="1:11" ht="15" customHeight="1" x14ac:dyDescent="0.2">
      <c r="A253" s="22" t="s">
        <v>821</v>
      </c>
      <c r="B253" s="23" t="s">
        <v>8</v>
      </c>
      <c r="C253" s="23" t="s">
        <v>9</v>
      </c>
      <c r="D253" s="24" t="s">
        <v>30</v>
      </c>
      <c r="E253" s="24" t="s">
        <v>42</v>
      </c>
      <c r="F253" s="18"/>
      <c r="G253" s="19"/>
      <c r="H253" s="20"/>
      <c r="I253" s="21"/>
      <c r="J253" s="20"/>
      <c r="K253" s="20"/>
    </row>
    <row r="254" spans="1:11" ht="15" customHeight="1" x14ac:dyDescent="0.2">
      <c r="A254" s="14" t="s">
        <v>207</v>
      </c>
      <c r="B254" s="15" t="s">
        <v>6</v>
      </c>
      <c r="C254" s="16"/>
      <c r="D254" s="17"/>
      <c r="E254" s="17"/>
      <c r="F254" s="18">
        <v>138.01410000000001</v>
      </c>
      <c r="G254" s="19">
        <v>157.21960000000001</v>
      </c>
      <c r="H254" s="20">
        <v>81.463999999999999</v>
      </c>
      <c r="I254" s="21">
        <v>7869.3761999999997</v>
      </c>
      <c r="J254" s="20">
        <v>8660.3381000000008</v>
      </c>
      <c r="K254" s="20">
        <v>4114.0384000000004</v>
      </c>
    </row>
    <row r="255" spans="1:11" ht="15" customHeight="1" x14ac:dyDescent="0.2">
      <c r="A255" s="22" t="s">
        <v>208</v>
      </c>
      <c r="B255" s="23" t="s">
        <v>8</v>
      </c>
      <c r="C255" s="23" t="s">
        <v>9</v>
      </c>
      <c r="D255" s="24" t="s">
        <v>30</v>
      </c>
      <c r="E255" s="24" t="s">
        <v>24</v>
      </c>
      <c r="F255" s="18">
        <v>41.221899999999998</v>
      </c>
      <c r="G255" s="19">
        <v>44.201300000000003</v>
      </c>
      <c r="H255" s="20">
        <v>20.616900000000001</v>
      </c>
      <c r="I255" s="21">
        <v>1922.9742000000001</v>
      </c>
      <c r="J255" s="20">
        <v>2020.3897999999999</v>
      </c>
      <c r="K255" s="20">
        <v>923.72320000000002</v>
      </c>
    </row>
    <row r="256" spans="1:11" ht="15" customHeight="1" x14ac:dyDescent="0.2">
      <c r="A256" s="22" t="s">
        <v>209</v>
      </c>
      <c r="B256" s="23" t="s">
        <v>8</v>
      </c>
      <c r="C256" s="23" t="s">
        <v>9</v>
      </c>
      <c r="D256" s="24" t="s">
        <v>30</v>
      </c>
      <c r="E256" s="24" t="s">
        <v>24</v>
      </c>
      <c r="F256" s="18">
        <v>41.486600000000003</v>
      </c>
      <c r="G256" s="19">
        <v>73.395700000000005</v>
      </c>
      <c r="H256" s="20">
        <v>40.033299999999997</v>
      </c>
      <c r="I256" s="21">
        <v>2454.0007999999998</v>
      </c>
      <c r="J256" s="20">
        <v>4307.1679999999997</v>
      </c>
      <c r="K256" s="20">
        <v>2180.9749000000002</v>
      </c>
    </row>
    <row r="257" spans="1:11" ht="15" customHeight="1" x14ac:dyDescent="0.2">
      <c r="A257" s="22" t="s">
        <v>210</v>
      </c>
      <c r="B257" s="23" t="s">
        <v>8</v>
      </c>
      <c r="C257" s="23" t="s">
        <v>9</v>
      </c>
      <c r="D257" s="24" t="s">
        <v>30</v>
      </c>
      <c r="E257" s="24" t="s">
        <v>42</v>
      </c>
      <c r="F257" s="18"/>
      <c r="G257" s="19"/>
      <c r="H257" s="20">
        <v>0.36020000000000002</v>
      </c>
      <c r="I257" s="21"/>
      <c r="J257" s="20"/>
      <c r="K257" s="20">
        <v>18.523700000000002</v>
      </c>
    </row>
    <row r="258" spans="1:11" ht="15" customHeight="1" x14ac:dyDescent="0.2">
      <c r="A258" s="22" t="s">
        <v>211</v>
      </c>
      <c r="B258" s="23" t="s">
        <v>8</v>
      </c>
      <c r="C258" s="23" t="s">
        <v>9</v>
      </c>
      <c r="D258" s="24" t="s">
        <v>10</v>
      </c>
      <c r="E258" s="24" t="s">
        <v>42</v>
      </c>
      <c r="F258" s="18">
        <v>50.296300000000002</v>
      </c>
      <c r="G258" s="19">
        <v>34.107599999999998</v>
      </c>
      <c r="H258" s="20">
        <v>15.9543</v>
      </c>
      <c r="I258" s="21">
        <v>3350.8564000000001</v>
      </c>
      <c r="J258" s="20">
        <v>2178.5326</v>
      </c>
      <c r="K258" s="20">
        <v>866.22</v>
      </c>
    </row>
    <row r="259" spans="1:11" ht="15" customHeight="1" x14ac:dyDescent="0.2">
      <c r="A259" s="22" t="s">
        <v>212</v>
      </c>
      <c r="B259" s="23" t="s">
        <v>8</v>
      </c>
      <c r="C259" s="23" t="s">
        <v>9</v>
      </c>
      <c r="D259" s="24" t="s">
        <v>10</v>
      </c>
      <c r="E259" s="24" t="s">
        <v>42</v>
      </c>
      <c r="F259" s="18">
        <v>5.0095999999999998</v>
      </c>
      <c r="G259" s="19">
        <v>5.5152000000000001</v>
      </c>
      <c r="H259" s="20">
        <v>4.4993999999999996</v>
      </c>
      <c r="I259" s="21">
        <v>141.5444</v>
      </c>
      <c r="J259" s="20">
        <v>154.2473</v>
      </c>
      <c r="K259" s="20">
        <v>124.59650000000001</v>
      </c>
    </row>
    <row r="260" spans="1:11" ht="15" customHeight="1" x14ac:dyDescent="0.2">
      <c r="A260" s="14" t="s">
        <v>213</v>
      </c>
      <c r="B260" s="15" t="s">
        <v>6</v>
      </c>
      <c r="C260" s="16"/>
      <c r="D260" s="17"/>
      <c r="E260" s="17"/>
      <c r="F260" s="18">
        <v>4.6416000000000004</v>
      </c>
      <c r="G260" s="19">
        <v>5.1684999999999999</v>
      </c>
      <c r="H260" s="20">
        <v>0.78010000000000002</v>
      </c>
      <c r="I260" s="21">
        <v>142.55420000000001</v>
      </c>
      <c r="J260" s="20">
        <v>145.93899999999999</v>
      </c>
      <c r="K260" s="20">
        <v>21.435099999999998</v>
      </c>
    </row>
    <row r="261" spans="1:11" ht="15" customHeight="1" x14ac:dyDescent="0.2">
      <c r="A261" s="22" t="s">
        <v>214</v>
      </c>
      <c r="B261" s="23" t="s">
        <v>8</v>
      </c>
      <c r="C261" s="23" t="s">
        <v>9</v>
      </c>
      <c r="D261" s="24" t="s">
        <v>30</v>
      </c>
      <c r="E261" s="24" t="s">
        <v>42</v>
      </c>
      <c r="F261" s="18">
        <v>4.6416000000000004</v>
      </c>
      <c r="G261" s="19">
        <v>5.1684999999999999</v>
      </c>
      <c r="H261" s="20">
        <v>0.78010000000000002</v>
      </c>
      <c r="I261" s="21">
        <v>142.55420000000001</v>
      </c>
      <c r="J261" s="20">
        <v>145.93899999999999</v>
      </c>
      <c r="K261" s="20">
        <v>21.435099999999998</v>
      </c>
    </row>
    <row r="262" spans="1:11" ht="15" customHeight="1" x14ac:dyDescent="0.2">
      <c r="A262" s="14" t="s">
        <v>215</v>
      </c>
      <c r="B262" s="15" t="s">
        <v>6</v>
      </c>
      <c r="C262" s="16"/>
      <c r="D262" s="17"/>
      <c r="E262" s="17"/>
      <c r="F262" s="18">
        <v>137.1788</v>
      </c>
      <c r="G262" s="19">
        <v>116.5658</v>
      </c>
      <c r="H262" s="20">
        <v>65.912899999999993</v>
      </c>
      <c r="I262" s="21">
        <v>7929.3796000000002</v>
      </c>
      <c r="J262" s="20">
        <v>6740.5910999999996</v>
      </c>
      <c r="K262" s="20">
        <v>3524.3125</v>
      </c>
    </row>
    <row r="263" spans="1:11" ht="15" customHeight="1" x14ac:dyDescent="0.2">
      <c r="A263" s="22" t="s">
        <v>216</v>
      </c>
      <c r="B263" s="23" t="s">
        <v>8</v>
      </c>
      <c r="C263" s="23" t="s">
        <v>9</v>
      </c>
      <c r="D263" s="24" t="s">
        <v>30</v>
      </c>
      <c r="E263" s="24" t="s">
        <v>24</v>
      </c>
      <c r="F263" s="18">
        <v>137.1788</v>
      </c>
      <c r="G263" s="19">
        <v>116.5658</v>
      </c>
      <c r="H263" s="20">
        <v>65.912899999999993</v>
      </c>
      <c r="I263" s="21">
        <v>7929.3796000000002</v>
      </c>
      <c r="J263" s="20">
        <v>6740.5910999999996</v>
      </c>
      <c r="K263" s="20">
        <v>3524.3125</v>
      </c>
    </row>
    <row r="264" spans="1:11" ht="14.25" customHeight="1" x14ac:dyDescent="0.2">
      <c r="A264" s="25" t="s">
        <v>745</v>
      </c>
      <c r="B264" s="4" t="s">
        <v>5</v>
      </c>
      <c r="C264" s="4"/>
      <c r="D264" s="5"/>
      <c r="E264" s="5"/>
      <c r="F264" s="10">
        <v>14.2293</v>
      </c>
      <c r="G264" s="11">
        <v>21.789000000000001</v>
      </c>
      <c r="H264" s="12">
        <v>7.9466000000000001</v>
      </c>
      <c r="I264" s="13">
        <v>761.61429999999996</v>
      </c>
      <c r="J264" s="12">
        <v>1129.7994000000001</v>
      </c>
      <c r="K264" s="12">
        <v>412.24349999999998</v>
      </c>
    </row>
    <row r="265" spans="1:11" ht="15" customHeight="1" x14ac:dyDescent="0.2">
      <c r="A265" s="14" t="s">
        <v>217</v>
      </c>
      <c r="B265" s="15" t="s">
        <v>6</v>
      </c>
      <c r="C265" s="16"/>
      <c r="D265" s="17"/>
      <c r="E265" s="17"/>
      <c r="F265" s="18">
        <v>14.2293</v>
      </c>
      <c r="G265" s="19">
        <v>21.789000000000001</v>
      </c>
      <c r="H265" s="20">
        <v>7.9466000000000001</v>
      </c>
      <c r="I265" s="21">
        <v>761.61429999999996</v>
      </c>
      <c r="J265" s="20">
        <v>1129.7994000000001</v>
      </c>
      <c r="K265" s="20">
        <v>412.24349999999998</v>
      </c>
    </row>
    <row r="266" spans="1:11" ht="15" customHeight="1" x14ac:dyDescent="0.2">
      <c r="A266" s="22" t="s">
        <v>218</v>
      </c>
      <c r="B266" s="23" t="s">
        <v>8</v>
      </c>
      <c r="C266" s="23" t="s">
        <v>9</v>
      </c>
      <c r="D266" s="24" t="s">
        <v>20</v>
      </c>
      <c r="E266" s="24" t="s">
        <v>21</v>
      </c>
      <c r="F266" s="18">
        <v>14.2293</v>
      </c>
      <c r="G266" s="19">
        <v>21.789000000000001</v>
      </c>
      <c r="H266" s="20">
        <v>7.9466000000000001</v>
      </c>
      <c r="I266" s="21">
        <v>761.61429999999996</v>
      </c>
      <c r="J266" s="20">
        <v>1129.7994000000001</v>
      </c>
      <c r="K266" s="20">
        <v>412.24349999999998</v>
      </c>
    </row>
    <row r="267" spans="1:11" ht="14.25" customHeight="1" x14ac:dyDescent="0.2">
      <c r="A267" s="25" t="s">
        <v>746</v>
      </c>
      <c r="B267" s="4" t="s">
        <v>5</v>
      </c>
      <c r="C267" s="4"/>
      <c r="D267" s="5"/>
      <c r="E267" s="5"/>
      <c r="F267" s="10">
        <v>7.4866999999999999</v>
      </c>
      <c r="G267" s="11">
        <v>1.5100000000000001E-2</v>
      </c>
      <c r="H267" s="12"/>
      <c r="I267" s="13">
        <v>509.18150000000003</v>
      </c>
      <c r="J267" s="12">
        <v>0.77590000000000003</v>
      </c>
      <c r="K267" s="12"/>
    </row>
    <row r="268" spans="1:11" ht="15" customHeight="1" x14ac:dyDescent="0.2">
      <c r="A268" s="14" t="s">
        <v>219</v>
      </c>
      <c r="B268" s="15" t="s">
        <v>6</v>
      </c>
      <c r="C268" s="16"/>
      <c r="D268" s="17"/>
      <c r="E268" s="17"/>
      <c r="F268" s="18">
        <v>7.4866999999999999</v>
      </c>
      <c r="G268" s="19">
        <v>1.5100000000000001E-2</v>
      </c>
      <c r="H268" s="20"/>
      <c r="I268" s="21">
        <v>509.18150000000003</v>
      </c>
      <c r="J268" s="20">
        <v>0.77590000000000003</v>
      </c>
      <c r="K268" s="20"/>
    </row>
    <row r="269" spans="1:11" ht="15" customHeight="1" x14ac:dyDescent="0.2">
      <c r="A269" s="22" t="s">
        <v>220</v>
      </c>
      <c r="B269" s="23" t="s">
        <v>8</v>
      </c>
      <c r="C269" s="23" t="s">
        <v>9</v>
      </c>
      <c r="D269" s="24" t="s">
        <v>64</v>
      </c>
      <c r="E269" s="24" t="s">
        <v>42</v>
      </c>
      <c r="F269" s="18">
        <v>7.4866999999999999</v>
      </c>
      <c r="G269" s="19">
        <v>1.5100000000000001E-2</v>
      </c>
      <c r="H269" s="20"/>
      <c r="I269" s="21">
        <v>509.18150000000003</v>
      </c>
      <c r="J269" s="20">
        <v>0.77590000000000003</v>
      </c>
      <c r="K269" s="20"/>
    </row>
    <row r="270" spans="1:11" ht="14.25" customHeight="1" x14ac:dyDescent="0.2">
      <c r="A270" s="25" t="s">
        <v>747</v>
      </c>
      <c r="B270" s="4" t="s">
        <v>5</v>
      </c>
      <c r="C270" s="4"/>
      <c r="D270" s="5"/>
      <c r="E270" s="5"/>
      <c r="F270" s="10">
        <v>9.1872000000000007</v>
      </c>
      <c r="G270" s="11"/>
      <c r="H270" s="12"/>
      <c r="I270" s="13">
        <v>430.16879999999998</v>
      </c>
      <c r="J270" s="12"/>
      <c r="K270" s="12"/>
    </row>
    <row r="271" spans="1:11" ht="15" customHeight="1" x14ac:dyDescent="0.2">
      <c r="A271" s="14" t="s">
        <v>221</v>
      </c>
      <c r="B271" s="15" t="s">
        <v>6</v>
      </c>
      <c r="C271" s="16"/>
      <c r="D271" s="17"/>
      <c r="E271" s="17"/>
      <c r="F271" s="18">
        <v>9.1872000000000007</v>
      </c>
      <c r="G271" s="19"/>
      <c r="H271" s="20"/>
      <c r="I271" s="21">
        <v>430.16879999999998</v>
      </c>
      <c r="J271" s="20"/>
      <c r="K271" s="20"/>
    </row>
    <row r="272" spans="1:11" ht="15" customHeight="1" x14ac:dyDescent="0.2">
      <c r="A272" s="22" t="s">
        <v>222</v>
      </c>
      <c r="B272" s="23" t="s">
        <v>8</v>
      </c>
      <c r="C272" s="23" t="s">
        <v>9</v>
      </c>
      <c r="D272" s="24" t="s">
        <v>64</v>
      </c>
      <c r="E272" s="24" t="s">
        <v>123</v>
      </c>
      <c r="F272" s="18"/>
      <c r="G272" s="19"/>
      <c r="H272" s="20"/>
      <c r="I272" s="21"/>
      <c r="J272" s="20"/>
      <c r="K272" s="20"/>
    </row>
    <row r="273" spans="1:11" ht="15" customHeight="1" x14ac:dyDescent="0.2">
      <c r="A273" s="22" t="s">
        <v>223</v>
      </c>
      <c r="B273" s="23" t="s">
        <v>8</v>
      </c>
      <c r="C273" s="23" t="s">
        <v>9</v>
      </c>
      <c r="D273" s="24" t="s">
        <v>64</v>
      </c>
      <c r="E273" s="24" t="s">
        <v>123</v>
      </c>
      <c r="F273" s="18">
        <v>1.3945000000000001</v>
      </c>
      <c r="G273" s="19"/>
      <c r="H273" s="20"/>
      <c r="I273" s="21">
        <v>67.202299999999994</v>
      </c>
      <c r="J273" s="20"/>
      <c r="K273" s="20"/>
    </row>
    <row r="274" spans="1:11" ht="15" customHeight="1" x14ac:dyDescent="0.2">
      <c r="A274" s="22" t="s">
        <v>224</v>
      </c>
      <c r="B274" s="23" t="s">
        <v>8</v>
      </c>
      <c r="C274" s="23" t="s">
        <v>9</v>
      </c>
      <c r="D274" s="24" t="s">
        <v>30</v>
      </c>
      <c r="E274" s="24" t="s">
        <v>42</v>
      </c>
      <c r="F274" s="18">
        <v>7.7927999999999997</v>
      </c>
      <c r="G274" s="19"/>
      <c r="H274" s="20"/>
      <c r="I274" s="21">
        <v>362.96660000000003</v>
      </c>
      <c r="J274" s="20"/>
      <c r="K274" s="20"/>
    </row>
    <row r="275" spans="1:11" ht="14.25" customHeight="1" x14ac:dyDescent="0.2">
      <c r="A275" s="25" t="s">
        <v>748</v>
      </c>
      <c r="B275" s="4" t="s">
        <v>5</v>
      </c>
      <c r="C275" s="4"/>
      <c r="D275" s="5"/>
      <c r="E275" s="5"/>
      <c r="F275" s="10">
        <v>77.652299999999997</v>
      </c>
      <c r="G275" s="11">
        <v>36.366500000000002</v>
      </c>
      <c r="H275" s="12">
        <v>17.4222</v>
      </c>
      <c r="I275" s="13">
        <v>3136.2818000000002</v>
      </c>
      <c r="J275" s="12">
        <v>1512.1391000000001</v>
      </c>
      <c r="K275" s="12">
        <v>684.81539999999995</v>
      </c>
    </row>
    <row r="276" spans="1:11" ht="15" customHeight="1" x14ac:dyDescent="0.2">
      <c r="A276" s="14" t="s">
        <v>225</v>
      </c>
      <c r="B276" s="15" t="s">
        <v>6</v>
      </c>
      <c r="C276" s="16"/>
      <c r="D276" s="17"/>
      <c r="E276" s="17"/>
      <c r="F276" s="18">
        <v>76.472300000000004</v>
      </c>
      <c r="G276" s="19">
        <v>36.366500000000002</v>
      </c>
      <c r="H276" s="20">
        <v>17.4222</v>
      </c>
      <c r="I276" s="21">
        <v>3099.3413999999998</v>
      </c>
      <c r="J276" s="20">
        <v>1512.1391000000001</v>
      </c>
      <c r="K276" s="20">
        <v>684.81539999999995</v>
      </c>
    </row>
    <row r="277" spans="1:11" ht="15" customHeight="1" x14ac:dyDescent="0.2">
      <c r="A277" s="22" t="s">
        <v>226</v>
      </c>
      <c r="B277" s="23" t="s">
        <v>8</v>
      </c>
      <c r="C277" s="23" t="s">
        <v>9</v>
      </c>
      <c r="D277" s="24" t="s">
        <v>10</v>
      </c>
      <c r="E277" s="24" t="s">
        <v>42</v>
      </c>
      <c r="F277" s="18">
        <v>63.770400000000002</v>
      </c>
      <c r="G277" s="19">
        <v>23.340299999999999</v>
      </c>
      <c r="H277" s="20">
        <v>11.8607</v>
      </c>
      <c r="I277" s="21">
        <v>2545.3452000000002</v>
      </c>
      <c r="J277" s="20">
        <v>949.45609999999999</v>
      </c>
      <c r="K277" s="20">
        <v>459.19099999999997</v>
      </c>
    </row>
    <row r="278" spans="1:11" ht="15" customHeight="1" x14ac:dyDescent="0.2">
      <c r="A278" s="22" t="s">
        <v>227</v>
      </c>
      <c r="B278" s="23" t="s">
        <v>8</v>
      </c>
      <c r="C278" s="23" t="s">
        <v>9</v>
      </c>
      <c r="D278" s="24" t="s">
        <v>30</v>
      </c>
      <c r="E278" s="24" t="s">
        <v>42</v>
      </c>
      <c r="F278" s="18">
        <v>12.7019</v>
      </c>
      <c r="G278" s="19">
        <v>13.0259</v>
      </c>
      <c r="H278" s="20">
        <v>5.5613999999999999</v>
      </c>
      <c r="I278" s="21">
        <v>553.99599999999998</v>
      </c>
      <c r="J278" s="20">
        <v>562.68320000000006</v>
      </c>
      <c r="K278" s="20">
        <v>225.62440000000001</v>
      </c>
    </row>
    <row r="279" spans="1:11" ht="15" customHeight="1" x14ac:dyDescent="0.2">
      <c r="A279" s="14" t="s">
        <v>228</v>
      </c>
      <c r="B279" s="15" t="s">
        <v>6</v>
      </c>
      <c r="C279" s="16"/>
      <c r="D279" s="17"/>
      <c r="E279" s="17"/>
      <c r="F279" s="18">
        <v>1.18</v>
      </c>
      <c r="G279" s="19"/>
      <c r="H279" s="20"/>
      <c r="I279" s="21">
        <v>36.940399999999997</v>
      </c>
      <c r="J279" s="20"/>
      <c r="K279" s="20"/>
    </row>
    <row r="280" spans="1:11" ht="15" customHeight="1" x14ac:dyDescent="0.2">
      <c r="A280" s="22" t="s">
        <v>229</v>
      </c>
      <c r="B280" s="23" t="s">
        <v>8</v>
      </c>
      <c r="C280" s="23" t="s">
        <v>9</v>
      </c>
      <c r="D280" s="24" t="s">
        <v>20</v>
      </c>
      <c r="E280" s="24" t="s">
        <v>42</v>
      </c>
      <c r="F280" s="18">
        <v>0.59</v>
      </c>
      <c r="G280" s="19"/>
      <c r="H280" s="20"/>
      <c r="I280" s="21">
        <v>18.470099999999999</v>
      </c>
      <c r="J280" s="20"/>
      <c r="K280" s="20"/>
    </row>
    <row r="281" spans="1:11" ht="15" customHeight="1" x14ac:dyDescent="0.2">
      <c r="A281" s="22" t="s">
        <v>230</v>
      </c>
      <c r="B281" s="23" t="s">
        <v>8</v>
      </c>
      <c r="C281" s="23" t="s">
        <v>9</v>
      </c>
      <c r="D281" s="24" t="s">
        <v>30</v>
      </c>
      <c r="E281" s="24" t="s">
        <v>42</v>
      </c>
      <c r="F281" s="18">
        <v>0.59</v>
      </c>
      <c r="G281" s="19"/>
      <c r="H281" s="20"/>
      <c r="I281" s="21">
        <v>18.470099999999999</v>
      </c>
      <c r="J281" s="20"/>
      <c r="K281" s="20"/>
    </row>
    <row r="282" spans="1:11" ht="14.25" customHeight="1" x14ac:dyDescent="0.2">
      <c r="A282" s="25" t="s">
        <v>749</v>
      </c>
      <c r="B282" s="4" t="s">
        <v>5</v>
      </c>
      <c r="C282" s="4"/>
      <c r="D282" s="5"/>
      <c r="E282" s="5"/>
      <c r="F282" s="10">
        <v>230.7484</v>
      </c>
      <c r="G282" s="11">
        <v>302.06599999999997</v>
      </c>
      <c r="H282" s="12">
        <v>144.0025</v>
      </c>
      <c r="I282" s="13">
        <v>11792.665300000001</v>
      </c>
      <c r="J282" s="12">
        <v>15544.8174</v>
      </c>
      <c r="K282" s="12">
        <v>7126.6583000000001</v>
      </c>
    </row>
    <row r="283" spans="1:11" ht="15" customHeight="1" x14ac:dyDescent="0.2">
      <c r="A283" s="14" t="s">
        <v>231</v>
      </c>
      <c r="B283" s="15" t="s">
        <v>6</v>
      </c>
      <c r="C283" s="16"/>
      <c r="D283" s="17"/>
      <c r="E283" s="17"/>
      <c r="F283" s="18"/>
      <c r="G283" s="19">
        <v>3.052</v>
      </c>
      <c r="H283" s="20">
        <v>0.7581</v>
      </c>
      <c r="I283" s="21"/>
      <c r="J283" s="20">
        <v>36.4679</v>
      </c>
      <c r="K283" s="20">
        <v>10.828200000000001</v>
      </c>
    </row>
    <row r="284" spans="1:11" ht="15" customHeight="1" x14ac:dyDescent="0.2">
      <c r="A284" s="22" t="s">
        <v>232</v>
      </c>
      <c r="B284" s="23" t="s">
        <v>8</v>
      </c>
      <c r="C284" s="23" t="s">
        <v>9</v>
      </c>
      <c r="D284" s="24" t="s">
        <v>69</v>
      </c>
      <c r="E284" s="24" t="s">
        <v>15</v>
      </c>
      <c r="F284" s="18"/>
      <c r="G284" s="19">
        <v>1.1446000000000001</v>
      </c>
      <c r="H284" s="20">
        <v>0.29039999999999999</v>
      </c>
      <c r="I284" s="21"/>
      <c r="J284" s="20">
        <v>11.6808</v>
      </c>
      <c r="K284" s="20">
        <v>3.3864000000000001</v>
      </c>
    </row>
    <row r="285" spans="1:11" ht="15" customHeight="1" x14ac:dyDescent="0.2">
      <c r="A285" s="22" t="s">
        <v>233</v>
      </c>
      <c r="B285" s="23" t="s">
        <v>8</v>
      </c>
      <c r="C285" s="23" t="s">
        <v>9</v>
      </c>
      <c r="D285" s="24" t="s">
        <v>69</v>
      </c>
      <c r="E285" s="24" t="s">
        <v>15</v>
      </c>
      <c r="F285" s="18"/>
      <c r="G285" s="19">
        <v>0.49220000000000003</v>
      </c>
      <c r="H285" s="20">
        <v>0.1164</v>
      </c>
      <c r="I285" s="21"/>
      <c r="J285" s="20">
        <v>4.2202000000000002</v>
      </c>
      <c r="K285" s="20">
        <v>0.85</v>
      </c>
    </row>
    <row r="286" spans="1:11" ht="15" customHeight="1" x14ac:dyDescent="0.2">
      <c r="A286" s="22" t="s">
        <v>234</v>
      </c>
      <c r="B286" s="23" t="s">
        <v>8</v>
      </c>
      <c r="C286" s="23" t="s">
        <v>9</v>
      </c>
      <c r="D286" s="24" t="s">
        <v>20</v>
      </c>
      <c r="E286" s="24" t="s">
        <v>15</v>
      </c>
      <c r="F286" s="18"/>
      <c r="G286" s="19">
        <v>1.4152</v>
      </c>
      <c r="H286" s="20">
        <v>0.3513</v>
      </c>
      <c r="I286" s="21"/>
      <c r="J286" s="20">
        <v>20.5671</v>
      </c>
      <c r="K286" s="20">
        <v>6.5918999999999999</v>
      </c>
    </row>
    <row r="287" spans="1:11" ht="15" customHeight="1" x14ac:dyDescent="0.2">
      <c r="A287" s="14" t="s">
        <v>235</v>
      </c>
      <c r="B287" s="15" t="s">
        <v>6</v>
      </c>
      <c r="C287" s="16"/>
      <c r="D287" s="17"/>
      <c r="E287" s="17"/>
      <c r="F287" s="18">
        <v>230.7484</v>
      </c>
      <c r="G287" s="19">
        <v>299.01389999999998</v>
      </c>
      <c r="H287" s="20">
        <v>143.24440000000001</v>
      </c>
      <c r="I287" s="21">
        <v>11792.665300000001</v>
      </c>
      <c r="J287" s="20">
        <v>15508.3496</v>
      </c>
      <c r="K287" s="20">
        <v>7115.8298999999997</v>
      </c>
    </row>
    <row r="288" spans="1:11" ht="15" customHeight="1" x14ac:dyDescent="0.2">
      <c r="A288" s="22" t="s">
        <v>236</v>
      </c>
      <c r="B288" s="23" t="s">
        <v>8</v>
      </c>
      <c r="C288" s="23" t="s">
        <v>9</v>
      </c>
      <c r="D288" s="24" t="s">
        <v>10</v>
      </c>
      <c r="E288" s="24" t="s">
        <v>24</v>
      </c>
      <c r="F288" s="18">
        <v>6.1999999999999998E-3</v>
      </c>
      <c r="G288" s="19">
        <v>21.155899999999999</v>
      </c>
      <c r="H288" s="20">
        <v>10.029400000000001</v>
      </c>
      <c r="I288" s="21">
        <v>0.32569999999999999</v>
      </c>
      <c r="J288" s="20">
        <v>1092.0349000000001</v>
      </c>
      <c r="K288" s="20">
        <v>489.28280000000001</v>
      </c>
    </row>
    <row r="289" spans="1:11" ht="15" customHeight="1" x14ac:dyDescent="0.2">
      <c r="A289" s="22" t="s">
        <v>237</v>
      </c>
      <c r="B289" s="23" t="s">
        <v>8</v>
      </c>
      <c r="C289" s="23" t="s">
        <v>9</v>
      </c>
      <c r="D289" s="24" t="s">
        <v>10</v>
      </c>
      <c r="E289" s="24" t="s">
        <v>42</v>
      </c>
      <c r="F289" s="18">
        <v>230.74209999999999</v>
      </c>
      <c r="G289" s="19">
        <v>277.85789999999997</v>
      </c>
      <c r="H289" s="20">
        <v>133.2149</v>
      </c>
      <c r="I289" s="21">
        <v>11792.3397</v>
      </c>
      <c r="J289" s="20">
        <v>14416.314700000001</v>
      </c>
      <c r="K289" s="20">
        <v>6626.5474000000004</v>
      </c>
    </row>
    <row r="290" spans="1:11" ht="14.25" customHeight="1" x14ac:dyDescent="0.2">
      <c r="A290" s="25" t="s">
        <v>750</v>
      </c>
      <c r="B290" s="4" t="s">
        <v>5</v>
      </c>
      <c r="C290" s="4"/>
      <c r="D290" s="5"/>
      <c r="E290" s="5"/>
      <c r="F290" s="10">
        <v>332.01650000000001</v>
      </c>
      <c r="G290" s="11">
        <v>406.09359999999998</v>
      </c>
      <c r="H290" s="12">
        <v>185.505</v>
      </c>
      <c r="I290" s="13">
        <v>9811.9591</v>
      </c>
      <c r="J290" s="12">
        <v>12002.149100000001</v>
      </c>
      <c r="K290" s="12">
        <v>5143.8028000000004</v>
      </c>
    </row>
    <row r="291" spans="1:11" ht="15" customHeight="1" x14ac:dyDescent="0.2">
      <c r="A291" s="14" t="s">
        <v>238</v>
      </c>
      <c r="B291" s="15" t="s">
        <v>6</v>
      </c>
      <c r="C291" s="16"/>
      <c r="D291" s="17"/>
      <c r="E291" s="17"/>
      <c r="F291" s="18">
        <v>332.01650000000001</v>
      </c>
      <c r="G291" s="19">
        <v>406.09359999999998</v>
      </c>
      <c r="H291" s="20">
        <v>185.505</v>
      </c>
      <c r="I291" s="21">
        <v>9811.9591</v>
      </c>
      <c r="J291" s="20">
        <v>12002.149100000001</v>
      </c>
      <c r="K291" s="20">
        <v>5143.8028000000004</v>
      </c>
    </row>
    <row r="292" spans="1:11" ht="15" customHeight="1" x14ac:dyDescent="0.2">
      <c r="A292" s="22" t="s">
        <v>239</v>
      </c>
      <c r="B292" s="23" t="s">
        <v>8</v>
      </c>
      <c r="C292" s="23" t="s">
        <v>9</v>
      </c>
      <c r="D292" s="24" t="s">
        <v>64</v>
      </c>
      <c r="E292" s="24" t="s">
        <v>32</v>
      </c>
      <c r="F292" s="18"/>
      <c r="G292" s="19"/>
      <c r="H292" s="20"/>
      <c r="I292" s="21"/>
      <c r="J292" s="20"/>
      <c r="K292" s="20"/>
    </row>
    <row r="293" spans="1:11" ht="15" customHeight="1" x14ac:dyDescent="0.2">
      <c r="A293" s="22" t="s">
        <v>240</v>
      </c>
      <c r="B293" s="23" t="s">
        <v>8</v>
      </c>
      <c r="C293" s="23" t="s">
        <v>9</v>
      </c>
      <c r="D293" s="24" t="s">
        <v>20</v>
      </c>
      <c r="E293" s="24" t="s">
        <v>15</v>
      </c>
      <c r="F293" s="18">
        <v>0.37059999999999998</v>
      </c>
      <c r="G293" s="19">
        <v>0.24890000000000001</v>
      </c>
      <c r="H293" s="20"/>
      <c r="I293" s="21">
        <v>9.2727000000000004</v>
      </c>
      <c r="J293" s="20">
        <v>7.0415000000000001</v>
      </c>
      <c r="K293" s="20"/>
    </row>
    <row r="294" spans="1:11" ht="15" customHeight="1" x14ac:dyDescent="0.2">
      <c r="A294" s="22" t="s">
        <v>241</v>
      </c>
      <c r="B294" s="23" t="s">
        <v>8</v>
      </c>
      <c r="C294" s="23" t="s">
        <v>9</v>
      </c>
      <c r="D294" s="24" t="s">
        <v>20</v>
      </c>
      <c r="E294" s="24" t="s">
        <v>99</v>
      </c>
      <c r="F294" s="18">
        <v>29.4162</v>
      </c>
      <c r="G294" s="19">
        <v>107.9663</v>
      </c>
      <c r="H294" s="20">
        <v>52.6723</v>
      </c>
      <c r="I294" s="21">
        <v>866.39819999999997</v>
      </c>
      <c r="J294" s="20">
        <v>3176.0981999999999</v>
      </c>
      <c r="K294" s="20">
        <v>1396.3396</v>
      </c>
    </row>
    <row r="295" spans="1:11" ht="15" customHeight="1" x14ac:dyDescent="0.2">
      <c r="A295" s="22" t="s">
        <v>242</v>
      </c>
      <c r="B295" s="23" t="s">
        <v>8</v>
      </c>
      <c r="C295" s="23" t="s">
        <v>9</v>
      </c>
      <c r="D295" s="24" t="s">
        <v>20</v>
      </c>
      <c r="E295" s="24" t="s">
        <v>99</v>
      </c>
      <c r="F295" s="18">
        <v>2.2702</v>
      </c>
      <c r="G295" s="19">
        <v>6.8476999999999997</v>
      </c>
      <c r="H295" s="20">
        <v>4.3963000000000001</v>
      </c>
      <c r="I295" s="21">
        <v>71.277600000000007</v>
      </c>
      <c r="J295" s="20">
        <v>210.60059999999999</v>
      </c>
      <c r="K295" s="20">
        <v>121.2728</v>
      </c>
    </row>
    <row r="296" spans="1:11" ht="15" customHeight="1" x14ac:dyDescent="0.2">
      <c r="A296" s="22" t="s">
        <v>243</v>
      </c>
      <c r="B296" s="23" t="s">
        <v>8</v>
      </c>
      <c r="C296" s="23" t="s">
        <v>9</v>
      </c>
      <c r="D296" s="24" t="s">
        <v>20</v>
      </c>
      <c r="E296" s="24" t="s">
        <v>99</v>
      </c>
      <c r="F296" s="18">
        <v>296.26589999999999</v>
      </c>
      <c r="G296" s="19">
        <v>290.55259999999998</v>
      </c>
      <c r="H296" s="20">
        <v>128.1713</v>
      </c>
      <c r="I296" s="21">
        <v>8749.3634000000002</v>
      </c>
      <c r="J296" s="20">
        <v>8593.8201000000008</v>
      </c>
      <c r="K296" s="20">
        <v>3618.6093999999998</v>
      </c>
    </row>
    <row r="297" spans="1:11" ht="15" customHeight="1" x14ac:dyDescent="0.2">
      <c r="A297" s="22" t="s">
        <v>244</v>
      </c>
      <c r="B297" s="23" t="s">
        <v>8</v>
      </c>
      <c r="C297" s="23" t="s">
        <v>9</v>
      </c>
      <c r="D297" s="24" t="s">
        <v>20</v>
      </c>
      <c r="E297" s="24" t="s">
        <v>99</v>
      </c>
      <c r="F297" s="18">
        <v>2.9716999999999998</v>
      </c>
      <c r="G297" s="19">
        <v>0.47810000000000002</v>
      </c>
      <c r="H297" s="20">
        <v>0.26490000000000002</v>
      </c>
      <c r="I297" s="21">
        <v>93.2804</v>
      </c>
      <c r="J297" s="20">
        <v>14.5885</v>
      </c>
      <c r="K297" s="20">
        <v>7.5808999999999997</v>
      </c>
    </row>
    <row r="298" spans="1:11" ht="15" customHeight="1" x14ac:dyDescent="0.2">
      <c r="A298" s="22" t="s">
        <v>245</v>
      </c>
      <c r="B298" s="23" t="s">
        <v>8</v>
      </c>
      <c r="C298" s="23" t="s">
        <v>9</v>
      </c>
      <c r="D298" s="24" t="s">
        <v>20</v>
      </c>
      <c r="E298" s="24" t="s">
        <v>123</v>
      </c>
      <c r="F298" s="18">
        <v>0.21840000000000001</v>
      </c>
      <c r="G298" s="19"/>
      <c r="H298" s="20"/>
      <c r="I298" s="21">
        <v>7.3784000000000001</v>
      </c>
      <c r="J298" s="20"/>
      <c r="K298" s="20"/>
    </row>
    <row r="299" spans="1:11" ht="15" customHeight="1" x14ac:dyDescent="0.2">
      <c r="A299" s="22" t="s">
        <v>246</v>
      </c>
      <c r="B299" s="23" t="s">
        <v>8</v>
      </c>
      <c r="C299" s="23" t="s">
        <v>9</v>
      </c>
      <c r="D299" s="24" t="s">
        <v>10</v>
      </c>
      <c r="E299" s="24" t="s">
        <v>123</v>
      </c>
      <c r="F299" s="18">
        <v>0.50360000000000005</v>
      </c>
      <c r="G299" s="19"/>
      <c r="H299" s="20"/>
      <c r="I299" s="21">
        <v>14.988200000000001</v>
      </c>
      <c r="J299" s="20"/>
      <c r="K299" s="20"/>
    </row>
    <row r="300" spans="1:11" ht="14.25" customHeight="1" x14ac:dyDescent="0.2">
      <c r="A300" s="25" t="s">
        <v>751</v>
      </c>
      <c r="B300" s="4" t="s">
        <v>5</v>
      </c>
      <c r="C300" s="4"/>
      <c r="D300" s="5"/>
      <c r="E300" s="5"/>
      <c r="F300" s="10">
        <v>4.0102000000000002</v>
      </c>
      <c r="G300" s="11">
        <v>6.6558000000000002</v>
      </c>
      <c r="H300" s="12"/>
      <c r="I300" s="13">
        <v>83.551900000000003</v>
      </c>
      <c r="J300" s="12">
        <v>115.5257</v>
      </c>
      <c r="K300" s="12"/>
    </row>
    <row r="301" spans="1:11" ht="15" customHeight="1" x14ac:dyDescent="0.2">
      <c r="A301" s="14" t="s">
        <v>247</v>
      </c>
      <c r="B301" s="15" t="s">
        <v>6</v>
      </c>
      <c r="C301" s="16"/>
      <c r="D301" s="17"/>
      <c r="E301" s="17"/>
      <c r="F301" s="18">
        <v>4.0102000000000002</v>
      </c>
      <c r="G301" s="19">
        <v>6.6558000000000002</v>
      </c>
      <c r="H301" s="20"/>
      <c r="I301" s="21">
        <v>83.551900000000003</v>
      </c>
      <c r="J301" s="20">
        <v>115.5257</v>
      </c>
      <c r="K301" s="20"/>
    </row>
    <row r="302" spans="1:11" ht="15" customHeight="1" x14ac:dyDescent="0.2">
      <c r="A302" s="22" t="s">
        <v>248</v>
      </c>
      <c r="B302" s="23" t="s">
        <v>8</v>
      </c>
      <c r="C302" s="23" t="s">
        <v>9</v>
      </c>
      <c r="D302" s="24" t="s">
        <v>249</v>
      </c>
      <c r="E302" s="24" t="s">
        <v>11</v>
      </c>
      <c r="F302" s="18">
        <v>0.17610000000000001</v>
      </c>
      <c r="G302" s="19">
        <v>1.0699999999999999E-2</v>
      </c>
      <c r="H302" s="20"/>
      <c r="I302" s="21">
        <v>3.1602000000000001</v>
      </c>
      <c r="J302" s="20">
        <v>0.19450000000000001</v>
      </c>
      <c r="K302" s="20"/>
    </row>
    <row r="303" spans="1:11" ht="15" customHeight="1" x14ac:dyDescent="0.2">
      <c r="A303" s="22" t="s">
        <v>250</v>
      </c>
      <c r="B303" s="23" t="s">
        <v>8</v>
      </c>
      <c r="C303" s="23" t="s">
        <v>9</v>
      </c>
      <c r="D303" s="24" t="s">
        <v>249</v>
      </c>
      <c r="E303" s="24" t="s">
        <v>11</v>
      </c>
      <c r="F303" s="18">
        <v>0.50239999999999996</v>
      </c>
      <c r="G303" s="19">
        <v>6.6451000000000002</v>
      </c>
      <c r="H303" s="20"/>
      <c r="I303" s="21">
        <v>10.56</v>
      </c>
      <c r="J303" s="20">
        <v>115.3312</v>
      </c>
      <c r="K303" s="20"/>
    </row>
    <row r="304" spans="1:11" ht="15" customHeight="1" x14ac:dyDescent="0.2">
      <c r="A304" s="22" t="s">
        <v>251</v>
      </c>
      <c r="B304" s="23" t="s">
        <v>8</v>
      </c>
      <c r="C304" s="23" t="s">
        <v>9</v>
      </c>
      <c r="D304" s="24" t="s">
        <v>249</v>
      </c>
      <c r="E304" s="24" t="s">
        <v>34</v>
      </c>
      <c r="F304" s="18">
        <v>0.31990000000000002</v>
      </c>
      <c r="G304" s="19"/>
      <c r="H304" s="20"/>
      <c r="I304" s="21">
        <v>7.3638000000000003</v>
      </c>
      <c r="J304" s="20"/>
      <c r="K304" s="20"/>
    </row>
    <row r="305" spans="1:11" ht="15" customHeight="1" x14ac:dyDescent="0.2">
      <c r="A305" s="22" t="s">
        <v>252</v>
      </c>
      <c r="B305" s="23" t="s">
        <v>8</v>
      </c>
      <c r="C305" s="23" t="s">
        <v>9</v>
      </c>
      <c r="D305" s="24" t="s">
        <v>249</v>
      </c>
      <c r="E305" s="24" t="s">
        <v>34</v>
      </c>
      <c r="F305" s="18">
        <v>3.0116000000000001</v>
      </c>
      <c r="G305" s="19"/>
      <c r="H305" s="20"/>
      <c r="I305" s="21">
        <v>62.468000000000004</v>
      </c>
      <c r="J305" s="20"/>
      <c r="K305" s="20"/>
    </row>
    <row r="306" spans="1:11" ht="14.25" customHeight="1" x14ac:dyDescent="0.2">
      <c r="A306" s="25" t="s">
        <v>752</v>
      </c>
      <c r="B306" s="4" t="s">
        <v>5</v>
      </c>
      <c r="C306" s="4"/>
      <c r="D306" s="5"/>
      <c r="E306" s="5"/>
      <c r="F306" s="10">
        <v>113.4864</v>
      </c>
      <c r="G306" s="11">
        <v>49.046199999999999</v>
      </c>
      <c r="H306" s="12">
        <v>12.333</v>
      </c>
      <c r="I306" s="13">
        <v>2663.5762</v>
      </c>
      <c r="J306" s="12">
        <v>1050.6376</v>
      </c>
      <c r="K306" s="12">
        <v>244.38679999999999</v>
      </c>
    </row>
    <row r="307" spans="1:11" ht="15" customHeight="1" x14ac:dyDescent="0.2">
      <c r="A307" s="14" t="s">
        <v>253</v>
      </c>
      <c r="B307" s="15" t="s">
        <v>6</v>
      </c>
      <c r="C307" s="16"/>
      <c r="D307" s="17"/>
      <c r="E307" s="17"/>
      <c r="F307" s="18">
        <v>113.4864</v>
      </c>
      <c r="G307" s="19">
        <v>49.046199999999999</v>
      </c>
      <c r="H307" s="20">
        <v>12.333</v>
      </c>
      <c r="I307" s="21">
        <v>2663.5762</v>
      </c>
      <c r="J307" s="20">
        <v>1050.6376</v>
      </c>
      <c r="K307" s="20">
        <v>244.38679999999999</v>
      </c>
    </row>
    <row r="308" spans="1:11" ht="15" customHeight="1" x14ac:dyDescent="0.2">
      <c r="A308" s="22" t="s">
        <v>254</v>
      </c>
      <c r="B308" s="23" t="s">
        <v>8</v>
      </c>
      <c r="C308" s="23" t="s">
        <v>9</v>
      </c>
      <c r="D308" s="24" t="s">
        <v>20</v>
      </c>
      <c r="E308" s="24" t="s">
        <v>13</v>
      </c>
      <c r="F308" s="18">
        <v>1.7111000000000001</v>
      </c>
      <c r="G308" s="19">
        <v>0.48920000000000002</v>
      </c>
      <c r="H308" s="20">
        <v>7.6600000000000001E-2</v>
      </c>
      <c r="I308" s="21">
        <v>14.330299999999999</v>
      </c>
      <c r="J308" s="20">
        <v>3.8454999999999999</v>
      </c>
      <c r="K308" s="20">
        <v>0.62309999999999999</v>
      </c>
    </row>
    <row r="309" spans="1:11" ht="15" customHeight="1" x14ac:dyDescent="0.2">
      <c r="A309" s="22" t="s">
        <v>255</v>
      </c>
      <c r="B309" s="23" t="s">
        <v>8</v>
      </c>
      <c r="C309" s="23" t="s">
        <v>9</v>
      </c>
      <c r="D309" s="24" t="s">
        <v>64</v>
      </c>
      <c r="E309" s="24" t="s">
        <v>256</v>
      </c>
      <c r="F309" s="18">
        <v>88.057900000000004</v>
      </c>
      <c r="G309" s="19">
        <v>26.767399999999999</v>
      </c>
      <c r="H309" s="20">
        <v>2.3372999999999999</v>
      </c>
      <c r="I309" s="21">
        <v>2166.7952</v>
      </c>
      <c r="J309" s="20">
        <v>614.64589999999998</v>
      </c>
      <c r="K309" s="20">
        <v>48.202599999999997</v>
      </c>
    </row>
    <row r="310" spans="1:11" ht="15" customHeight="1" x14ac:dyDescent="0.2">
      <c r="A310" s="22" t="s">
        <v>257</v>
      </c>
      <c r="B310" s="23" t="s">
        <v>8</v>
      </c>
      <c r="C310" s="23" t="s">
        <v>9</v>
      </c>
      <c r="D310" s="24" t="s">
        <v>10</v>
      </c>
      <c r="E310" s="24" t="s">
        <v>34</v>
      </c>
      <c r="F310" s="18">
        <v>1.0826</v>
      </c>
      <c r="G310" s="19">
        <v>0.79220000000000002</v>
      </c>
      <c r="H310" s="20"/>
      <c r="I310" s="21">
        <v>19.760000000000002</v>
      </c>
      <c r="J310" s="20">
        <v>17.024000000000001</v>
      </c>
      <c r="K310" s="20"/>
    </row>
    <row r="311" spans="1:11" ht="15" customHeight="1" x14ac:dyDescent="0.2">
      <c r="A311" s="22" t="s">
        <v>258</v>
      </c>
      <c r="B311" s="23" t="s">
        <v>8</v>
      </c>
      <c r="C311" s="23" t="s">
        <v>9</v>
      </c>
      <c r="D311" s="24" t="s">
        <v>20</v>
      </c>
      <c r="E311" s="24" t="s">
        <v>34</v>
      </c>
      <c r="F311" s="18">
        <v>0.44109999999999999</v>
      </c>
      <c r="G311" s="19">
        <v>0.41260000000000002</v>
      </c>
      <c r="H311" s="20">
        <v>4.5600000000000002E-2</v>
      </c>
      <c r="I311" s="21">
        <v>8.4567999999999994</v>
      </c>
      <c r="J311" s="20">
        <v>6.601</v>
      </c>
      <c r="K311" s="20">
        <v>0.72929999999999995</v>
      </c>
    </row>
    <row r="312" spans="1:11" ht="15" customHeight="1" x14ac:dyDescent="0.2">
      <c r="A312" s="22" t="s">
        <v>259</v>
      </c>
      <c r="B312" s="23" t="s">
        <v>8</v>
      </c>
      <c r="C312" s="23" t="s">
        <v>9</v>
      </c>
      <c r="D312" s="24" t="s">
        <v>64</v>
      </c>
      <c r="E312" s="24" t="s">
        <v>34</v>
      </c>
      <c r="F312" s="18">
        <v>2.1700000000000001E-2</v>
      </c>
      <c r="G312" s="19"/>
      <c r="H312" s="20"/>
      <c r="I312" s="21">
        <v>0.48470000000000002</v>
      </c>
      <c r="J312" s="20"/>
      <c r="K312" s="20"/>
    </row>
    <row r="313" spans="1:11" ht="15" customHeight="1" x14ac:dyDescent="0.2">
      <c r="A313" s="22" t="s">
        <v>260</v>
      </c>
      <c r="B313" s="23" t="s">
        <v>8</v>
      </c>
      <c r="C313" s="23" t="s">
        <v>9</v>
      </c>
      <c r="D313" s="24" t="s">
        <v>20</v>
      </c>
      <c r="E313" s="24" t="s">
        <v>34</v>
      </c>
      <c r="F313" s="18">
        <v>1.675</v>
      </c>
      <c r="G313" s="19">
        <v>2.4634999999999998</v>
      </c>
      <c r="H313" s="20">
        <v>0.86060000000000003</v>
      </c>
      <c r="I313" s="21">
        <v>31.331099999999999</v>
      </c>
      <c r="J313" s="20">
        <v>43.584000000000003</v>
      </c>
      <c r="K313" s="20">
        <v>15.645899999999999</v>
      </c>
    </row>
    <row r="314" spans="1:11" ht="15" customHeight="1" x14ac:dyDescent="0.2">
      <c r="A314" s="22" t="s">
        <v>261</v>
      </c>
      <c r="B314" s="23" t="s">
        <v>8</v>
      </c>
      <c r="C314" s="23" t="s">
        <v>9</v>
      </c>
      <c r="D314" s="24" t="s">
        <v>20</v>
      </c>
      <c r="E314" s="24" t="s">
        <v>34</v>
      </c>
      <c r="F314" s="18">
        <v>9.3126999999999995</v>
      </c>
      <c r="G314" s="19">
        <v>6.4108999999999998</v>
      </c>
      <c r="H314" s="20">
        <v>5.0708000000000002</v>
      </c>
      <c r="I314" s="21">
        <v>206.11410000000001</v>
      </c>
      <c r="J314" s="20">
        <v>126.16</v>
      </c>
      <c r="K314" s="20">
        <v>101.6622</v>
      </c>
    </row>
    <row r="315" spans="1:11" ht="15" customHeight="1" x14ac:dyDescent="0.2">
      <c r="A315" s="22" t="s">
        <v>262</v>
      </c>
      <c r="B315" s="23" t="s">
        <v>8</v>
      </c>
      <c r="C315" s="23" t="s">
        <v>9</v>
      </c>
      <c r="D315" s="24" t="s">
        <v>20</v>
      </c>
      <c r="E315" s="24" t="s">
        <v>34</v>
      </c>
      <c r="F315" s="18">
        <v>11.1845</v>
      </c>
      <c r="G315" s="19">
        <v>11.7105</v>
      </c>
      <c r="H315" s="20">
        <v>3.9420000000000002</v>
      </c>
      <c r="I315" s="21">
        <v>216.30410000000001</v>
      </c>
      <c r="J315" s="20">
        <v>238.77709999999999</v>
      </c>
      <c r="K315" s="20">
        <v>77.523899999999998</v>
      </c>
    </row>
    <row r="316" spans="1:11" ht="14.25" customHeight="1" x14ac:dyDescent="0.2">
      <c r="A316" s="25" t="s">
        <v>753</v>
      </c>
      <c r="B316" s="4" t="s">
        <v>5</v>
      </c>
      <c r="C316" s="4"/>
      <c r="D316" s="5"/>
      <c r="E316" s="5"/>
      <c r="F316" s="10">
        <v>6.6299999999999998E-2</v>
      </c>
      <c r="G316" s="11">
        <v>0.12959999999999999</v>
      </c>
      <c r="H316" s="12">
        <v>7.1499999999999994E-2</v>
      </c>
      <c r="I316" s="13">
        <v>0.504</v>
      </c>
      <c r="J316" s="12">
        <v>0.91539999999999999</v>
      </c>
      <c r="K316" s="12">
        <v>0.52459999999999996</v>
      </c>
    </row>
    <row r="317" spans="1:11" ht="15" customHeight="1" x14ac:dyDescent="0.2">
      <c r="A317" s="14" t="s">
        <v>263</v>
      </c>
      <c r="B317" s="15" t="s">
        <v>6</v>
      </c>
      <c r="C317" s="16"/>
      <c r="D317" s="17"/>
      <c r="E317" s="17"/>
      <c r="F317" s="18">
        <v>6.6299999999999998E-2</v>
      </c>
      <c r="G317" s="19">
        <v>0.12959999999999999</v>
      </c>
      <c r="H317" s="20">
        <v>7.1499999999999994E-2</v>
      </c>
      <c r="I317" s="21">
        <v>0.504</v>
      </c>
      <c r="J317" s="20">
        <v>0.91539999999999999</v>
      </c>
      <c r="K317" s="20">
        <v>0.52459999999999996</v>
      </c>
    </row>
    <row r="318" spans="1:11" ht="15" customHeight="1" x14ac:dyDescent="0.2">
      <c r="A318" s="22" t="s">
        <v>264</v>
      </c>
      <c r="B318" s="23" t="s">
        <v>8</v>
      </c>
      <c r="C318" s="23" t="s">
        <v>9</v>
      </c>
      <c r="D318" s="24" t="s">
        <v>69</v>
      </c>
      <c r="E318" s="24" t="s">
        <v>42</v>
      </c>
      <c r="F318" s="18">
        <v>6.6299999999999998E-2</v>
      </c>
      <c r="G318" s="19">
        <v>0.12959999999999999</v>
      </c>
      <c r="H318" s="20">
        <v>7.1499999999999994E-2</v>
      </c>
      <c r="I318" s="21">
        <v>0.504</v>
      </c>
      <c r="J318" s="20">
        <v>0.91539999999999999</v>
      </c>
      <c r="K318" s="20">
        <v>0.52459999999999996</v>
      </c>
    </row>
    <row r="319" spans="1:11" ht="14.25" customHeight="1" x14ac:dyDescent="0.2">
      <c r="A319" s="25" t="s">
        <v>754</v>
      </c>
      <c r="B319" s="4" t="s">
        <v>5</v>
      </c>
      <c r="C319" s="4"/>
      <c r="D319" s="5"/>
      <c r="E319" s="5"/>
      <c r="F319" s="10">
        <v>220.27789999999999</v>
      </c>
      <c r="G319" s="11">
        <v>271.99849999999998</v>
      </c>
      <c r="H319" s="12">
        <v>141.2388</v>
      </c>
      <c r="I319" s="13">
        <v>1748.9223999999999</v>
      </c>
      <c r="J319" s="12">
        <v>2358.5315000000001</v>
      </c>
      <c r="K319" s="12">
        <v>1240.7411999999999</v>
      </c>
    </row>
    <row r="320" spans="1:11" ht="15" customHeight="1" x14ac:dyDescent="0.2">
      <c r="A320" s="14" t="s">
        <v>265</v>
      </c>
      <c r="B320" s="15" t="s">
        <v>6</v>
      </c>
      <c r="C320" s="16"/>
      <c r="D320" s="17"/>
      <c r="E320" s="17"/>
      <c r="F320" s="18">
        <v>220.27789999999999</v>
      </c>
      <c r="G320" s="19">
        <v>271.99849999999998</v>
      </c>
      <c r="H320" s="20">
        <v>141.2388</v>
      </c>
      <c r="I320" s="21">
        <v>1748.9223999999999</v>
      </c>
      <c r="J320" s="20">
        <v>2358.5315000000001</v>
      </c>
      <c r="K320" s="20">
        <v>1240.7411999999999</v>
      </c>
    </row>
    <row r="321" spans="1:11" ht="15" customHeight="1" x14ac:dyDescent="0.2">
      <c r="A321" s="22" t="s">
        <v>266</v>
      </c>
      <c r="B321" s="23" t="s">
        <v>8</v>
      </c>
      <c r="C321" s="23" t="s">
        <v>9</v>
      </c>
      <c r="D321" s="24" t="s">
        <v>10</v>
      </c>
      <c r="E321" s="24" t="s">
        <v>13</v>
      </c>
      <c r="F321" s="18">
        <v>0.61529999999999996</v>
      </c>
      <c r="G321" s="19">
        <v>0.502</v>
      </c>
      <c r="H321" s="20">
        <v>4.99E-2</v>
      </c>
      <c r="I321" s="21">
        <v>4.0616000000000003</v>
      </c>
      <c r="J321" s="20">
        <v>3.2562000000000002</v>
      </c>
      <c r="K321" s="20">
        <v>0.25269999999999998</v>
      </c>
    </row>
    <row r="322" spans="1:11" ht="15" customHeight="1" x14ac:dyDescent="0.2">
      <c r="A322" s="22" t="s">
        <v>267</v>
      </c>
      <c r="B322" s="23" t="s">
        <v>8</v>
      </c>
      <c r="C322" s="23" t="s">
        <v>9</v>
      </c>
      <c r="D322" s="24" t="s">
        <v>10</v>
      </c>
      <c r="E322" s="24" t="s">
        <v>268</v>
      </c>
      <c r="F322" s="18">
        <v>18.4224</v>
      </c>
      <c r="G322" s="19">
        <v>21.849599999999999</v>
      </c>
      <c r="H322" s="20">
        <v>15.9329</v>
      </c>
      <c r="I322" s="21">
        <v>154.90440000000001</v>
      </c>
      <c r="J322" s="20">
        <v>191.65379999999999</v>
      </c>
      <c r="K322" s="20">
        <v>151.1</v>
      </c>
    </row>
    <row r="323" spans="1:11" ht="15" customHeight="1" x14ac:dyDescent="0.2">
      <c r="A323" s="22" t="s">
        <v>269</v>
      </c>
      <c r="B323" s="23" t="s">
        <v>8</v>
      </c>
      <c r="C323" s="23" t="s">
        <v>9</v>
      </c>
      <c r="D323" s="24" t="s">
        <v>10</v>
      </c>
      <c r="E323" s="24" t="s">
        <v>270</v>
      </c>
      <c r="F323" s="18">
        <v>1.851</v>
      </c>
      <c r="G323" s="19">
        <v>2.4146999999999998</v>
      </c>
      <c r="H323" s="20">
        <v>0.80920000000000003</v>
      </c>
      <c r="I323" s="21">
        <v>10.083500000000001</v>
      </c>
      <c r="J323" s="20">
        <v>14.928100000000001</v>
      </c>
      <c r="K323" s="20">
        <v>5.5830000000000002</v>
      </c>
    </row>
    <row r="324" spans="1:11" ht="15" customHeight="1" x14ac:dyDescent="0.2">
      <c r="A324" s="22" t="s">
        <v>271</v>
      </c>
      <c r="B324" s="23" t="s">
        <v>8</v>
      </c>
      <c r="C324" s="23" t="s">
        <v>9</v>
      </c>
      <c r="D324" s="24" t="s">
        <v>10</v>
      </c>
      <c r="E324" s="24" t="s">
        <v>99</v>
      </c>
      <c r="F324" s="18">
        <v>198.11109999999999</v>
      </c>
      <c r="G324" s="19">
        <v>233.6309</v>
      </c>
      <c r="H324" s="20">
        <v>113.3126</v>
      </c>
      <c r="I324" s="21">
        <v>1569.5084999999999</v>
      </c>
      <c r="J324" s="20">
        <v>2030.1902</v>
      </c>
      <c r="K324" s="20">
        <v>989.67420000000004</v>
      </c>
    </row>
    <row r="325" spans="1:11" ht="15" customHeight="1" x14ac:dyDescent="0.2">
      <c r="A325" s="22" t="s">
        <v>272</v>
      </c>
      <c r="B325" s="23" t="s">
        <v>8</v>
      </c>
      <c r="C325" s="23" t="s">
        <v>9</v>
      </c>
      <c r="D325" s="24" t="s">
        <v>10</v>
      </c>
      <c r="E325" s="24" t="s">
        <v>99</v>
      </c>
      <c r="F325" s="18">
        <v>1.278</v>
      </c>
      <c r="G325" s="19">
        <v>13.6012</v>
      </c>
      <c r="H325" s="20">
        <v>11.1342</v>
      </c>
      <c r="I325" s="21">
        <v>10.3644</v>
      </c>
      <c r="J325" s="20">
        <v>118.5029</v>
      </c>
      <c r="K325" s="20">
        <v>94.131399999999999</v>
      </c>
    </row>
    <row r="326" spans="1:11" ht="14.25" customHeight="1" x14ac:dyDescent="0.2">
      <c r="A326" s="25" t="s">
        <v>755</v>
      </c>
      <c r="B326" s="4" t="s">
        <v>5</v>
      </c>
      <c r="C326" s="4"/>
      <c r="D326" s="5"/>
      <c r="E326" s="5"/>
      <c r="F326" s="10"/>
      <c r="G326" s="11">
        <v>0.44869999999999999</v>
      </c>
      <c r="H326" s="12">
        <v>0.1852</v>
      </c>
      <c r="I326" s="13"/>
      <c r="J326" s="12">
        <v>7.1882999999999999</v>
      </c>
      <c r="K326" s="12">
        <v>2.9676999999999998</v>
      </c>
    </row>
    <row r="327" spans="1:11" ht="15" customHeight="1" x14ac:dyDescent="0.2">
      <c r="A327" s="14" t="s">
        <v>273</v>
      </c>
      <c r="B327" s="15" t="s">
        <v>6</v>
      </c>
      <c r="C327" s="16"/>
      <c r="D327" s="17"/>
      <c r="E327" s="17"/>
      <c r="F327" s="18"/>
      <c r="G327" s="19">
        <v>0.2286</v>
      </c>
      <c r="H327" s="20">
        <v>8.4099999999999994E-2</v>
      </c>
      <c r="I327" s="21"/>
      <c r="J327" s="20">
        <v>3.6671999999999998</v>
      </c>
      <c r="K327" s="20">
        <v>1.3489</v>
      </c>
    </row>
    <row r="328" spans="1:11" ht="15" customHeight="1" x14ac:dyDescent="0.2">
      <c r="A328" s="22" t="s">
        <v>822</v>
      </c>
      <c r="B328" s="23" t="s">
        <v>8</v>
      </c>
      <c r="C328" s="23" t="s">
        <v>9</v>
      </c>
      <c r="D328" s="24" t="s">
        <v>10</v>
      </c>
      <c r="E328" s="24" t="s">
        <v>34</v>
      </c>
      <c r="F328" s="18"/>
      <c r="G328" s="19">
        <v>0.2286</v>
      </c>
      <c r="H328" s="20">
        <v>8.4099999999999994E-2</v>
      </c>
      <c r="I328" s="21"/>
      <c r="J328" s="20">
        <v>3.6671999999999998</v>
      </c>
      <c r="K328" s="20">
        <v>1.3489</v>
      </c>
    </row>
    <row r="329" spans="1:11" ht="15" customHeight="1" x14ac:dyDescent="0.2">
      <c r="A329" s="14" t="s">
        <v>274</v>
      </c>
      <c r="B329" s="15" t="s">
        <v>6</v>
      </c>
      <c r="C329" s="16"/>
      <c r="D329" s="17"/>
      <c r="E329" s="17"/>
      <c r="F329" s="18"/>
      <c r="G329" s="19">
        <v>0.22009999999999999</v>
      </c>
      <c r="H329" s="20">
        <v>0.1012</v>
      </c>
      <c r="I329" s="21"/>
      <c r="J329" s="20">
        <v>3.5211000000000001</v>
      </c>
      <c r="K329" s="20">
        <v>1.6187</v>
      </c>
    </row>
    <row r="330" spans="1:11" ht="15" customHeight="1" x14ac:dyDescent="0.2">
      <c r="A330" s="22" t="s">
        <v>275</v>
      </c>
      <c r="B330" s="23" t="s">
        <v>8</v>
      </c>
      <c r="C330" s="23" t="s">
        <v>9</v>
      </c>
      <c r="D330" s="24" t="s">
        <v>10</v>
      </c>
      <c r="E330" s="24" t="s">
        <v>34</v>
      </c>
      <c r="F330" s="18"/>
      <c r="G330" s="19">
        <v>0.22009999999999999</v>
      </c>
      <c r="H330" s="20">
        <v>0.1012</v>
      </c>
      <c r="I330" s="21"/>
      <c r="J330" s="20">
        <v>3.5211000000000001</v>
      </c>
      <c r="K330" s="20">
        <v>1.6187</v>
      </c>
    </row>
    <row r="331" spans="1:11" ht="14.25" customHeight="1" x14ac:dyDescent="0.2">
      <c r="A331" s="25" t="s">
        <v>756</v>
      </c>
      <c r="B331" s="4" t="s">
        <v>5</v>
      </c>
      <c r="C331" s="4"/>
      <c r="D331" s="5"/>
      <c r="E331" s="5"/>
      <c r="F331" s="10">
        <v>34.405999999999999</v>
      </c>
      <c r="G331" s="11">
        <v>2.0082</v>
      </c>
      <c r="H331" s="12">
        <v>5.9400000000000001E-2</v>
      </c>
      <c r="I331" s="13">
        <v>1027.0906</v>
      </c>
      <c r="J331" s="12">
        <v>44.666600000000003</v>
      </c>
      <c r="K331" s="12">
        <v>0.51659999999999995</v>
      </c>
    </row>
    <row r="332" spans="1:11" ht="15" customHeight="1" x14ac:dyDescent="0.2">
      <c r="A332" s="14" t="s">
        <v>276</v>
      </c>
      <c r="B332" s="15" t="s">
        <v>6</v>
      </c>
      <c r="C332" s="16"/>
      <c r="D332" s="17"/>
      <c r="E332" s="17"/>
      <c r="F332" s="18">
        <v>34.405999999999999</v>
      </c>
      <c r="G332" s="19">
        <v>2.0082</v>
      </c>
      <c r="H332" s="20">
        <v>5.9400000000000001E-2</v>
      </c>
      <c r="I332" s="21">
        <v>1027.0906</v>
      </c>
      <c r="J332" s="20">
        <v>44.666600000000003</v>
      </c>
      <c r="K332" s="20">
        <v>0.51659999999999995</v>
      </c>
    </row>
    <row r="333" spans="1:11" ht="15" customHeight="1" x14ac:dyDescent="0.2">
      <c r="A333" s="22" t="s">
        <v>277</v>
      </c>
      <c r="B333" s="23" t="s">
        <v>8</v>
      </c>
      <c r="C333" s="23" t="s">
        <v>9</v>
      </c>
      <c r="D333" s="24" t="s">
        <v>249</v>
      </c>
      <c r="E333" s="24" t="s">
        <v>11</v>
      </c>
      <c r="F333" s="18">
        <v>0.3851</v>
      </c>
      <c r="G333" s="19">
        <v>0.10680000000000001</v>
      </c>
      <c r="H333" s="20"/>
      <c r="I333" s="21">
        <v>4.9682000000000004</v>
      </c>
      <c r="J333" s="20">
        <v>1.3105</v>
      </c>
      <c r="K333" s="20"/>
    </row>
    <row r="334" spans="1:11" ht="15" customHeight="1" x14ac:dyDescent="0.2">
      <c r="A334" s="22" t="s">
        <v>278</v>
      </c>
      <c r="B334" s="23" t="s">
        <v>8</v>
      </c>
      <c r="C334" s="23" t="s">
        <v>9</v>
      </c>
      <c r="D334" s="24" t="s">
        <v>64</v>
      </c>
      <c r="E334" s="24" t="s">
        <v>34</v>
      </c>
      <c r="F334" s="18">
        <v>1.0960000000000001</v>
      </c>
      <c r="G334" s="19">
        <v>0.3664</v>
      </c>
      <c r="H334" s="20">
        <v>5.7799999999999997E-2</v>
      </c>
      <c r="I334" s="21">
        <v>13.8332</v>
      </c>
      <c r="J334" s="20">
        <v>3.4159999999999999</v>
      </c>
      <c r="K334" s="20">
        <v>0.48</v>
      </c>
    </row>
    <row r="335" spans="1:11" ht="15" customHeight="1" x14ac:dyDescent="0.2">
      <c r="A335" s="22" t="s">
        <v>279</v>
      </c>
      <c r="B335" s="23" t="s">
        <v>8</v>
      </c>
      <c r="C335" s="23" t="s">
        <v>9</v>
      </c>
      <c r="D335" s="24" t="s">
        <v>64</v>
      </c>
      <c r="E335" s="24" t="s">
        <v>34</v>
      </c>
      <c r="F335" s="18">
        <v>8.1957000000000004</v>
      </c>
      <c r="G335" s="19">
        <v>0.14119999999999999</v>
      </c>
      <c r="H335" s="20">
        <v>1.1000000000000001E-3</v>
      </c>
      <c r="I335" s="21">
        <v>213.62710000000001</v>
      </c>
      <c r="J335" s="20">
        <v>2.6021999999999998</v>
      </c>
      <c r="K335" s="20">
        <v>1.6E-2</v>
      </c>
    </row>
    <row r="336" spans="1:11" ht="15" customHeight="1" x14ac:dyDescent="0.2">
      <c r="A336" s="22" t="s">
        <v>280</v>
      </c>
      <c r="B336" s="23" t="s">
        <v>8</v>
      </c>
      <c r="C336" s="23" t="s">
        <v>9</v>
      </c>
      <c r="D336" s="24" t="s">
        <v>249</v>
      </c>
      <c r="E336" s="24" t="s">
        <v>34</v>
      </c>
      <c r="F336" s="18">
        <v>2.8999999999999998E-3</v>
      </c>
      <c r="G336" s="19"/>
      <c r="H336" s="20"/>
      <c r="I336" s="21">
        <v>0.17960000000000001</v>
      </c>
      <c r="J336" s="20"/>
      <c r="K336" s="20"/>
    </row>
    <row r="337" spans="1:11" ht="15" customHeight="1" x14ac:dyDescent="0.2">
      <c r="A337" s="22" t="s">
        <v>281</v>
      </c>
      <c r="B337" s="23" t="s">
        <v>8</v>
      </c>
      <c r="C337" s="23" t="s">
        <v>9</v>
      </c>
      <c r="D337" s="24" t="s">
        <v>249</v>
      </c>
      <c r="E337" s="24" t="s">
        <v>34</v>
      </c>
      <c r="F337" s="18"/>
      <c r="G337" s="19"/>
      <c r="H337" s="20"/>
      <c r="I337" s="21"/>
      <c r="J337" s="20"/>
      <c r="K337" s="20"/>
    </row>
    <row r="338" spans="1:11" ht="15" customHeight="1" x14ac:dyDescent="0.2">
      <c r="A338" s="22" t="s">
        <v>282</v>
      </c>
      <c r="B338" s="23" t="s">
        <v>8</v>
      </c>
      <c r="C338" s="23" t="s">
        <v>9</v>
      </c>
      <c r="D338" s="24" t="s">
        <v>10</v>
      </c>
      <c r="E338" s="24" t="s">
        <v>34</v>
      </c>
      <c r="F338" s="18">
        <v>0.22670000000000001</v>
      </c>
      <c r="G338" s="19"/>
      <c r="H338" s="20"/>
      <c r="I338" s="21">
        <v>4.5189000000000004</v>
      </c>
      <c r="J338" s="20"/>
      <c r="K338" s="20"/>
    </row>
    <row r="339" spans="1:11" ht="15" customHeight="1" x14ac:dyDescent="0.2">
      <c r="A339" s="22" t="s">
        <v>283</v>
      </c>
      <c r="B339" s="23" t="s">
        <v>8</v>
      </c>
      <c r="C339" s="23" t="s">
        <v>9</v>
      </c>
      <c r="D339" s="24" t="s">
        <v>249</v>
      </c>
      <c r="E339" s="24" t="s">
        <v>42</v>
      </c>
      <c r="F339" s="18">
        <v>24.499500000000001</v>
      </c>
      <c r="G339" s="19">
        <v>1.3658999999999999</v>
      </c>
      <c r="H339" s="20">
        <v>5.9999999999999995E-4</v>
      </c>
      <c r="I339" s="21">
        <v>789.96360000000004</v>
      </c>
      <c r="J339" s="20">
        <v>36.531500000000001</v>
      </c>
      <c r="K339" s="20">
        <v>2.06E-2</v>
      </c>
    </row>
    <row r="340" spans="1:11" ht="15" customHeight="1" x14ac:dyDescent="0.2">
      <c r="A340" s="22" t="s">
        <v>284</v>
      </c>
      <c r="B340" s="23" t="s">
        <v>8</v>
      </c>
      <c r="C340" s="23" t="s">
        <v>9</v>
      </c>
      <c r="D340" s="24" t="s">
        <v>64</v>
      </c>
      <c r="E340" s="24" t="s">
        <v>42</v>
      </c>
      <c r="F340" s="18"/>
      <c r="G340" s="19">
        <v>2.8000000000000001E-2</v>
      </c>
      <c r="H340" s="20"/>
      <c r="I340" s="21"/>
      <c r="J340" s="20">
        <v>0.80640000000000001</v>
      </c>
      <c r="K340" s="20"/>
    </row>
    <row r="341" spans="1:11" ht="14.25" customHeight="1" x14ac:dyDescent="0.2">
      <c r="A341" s="25" t="s">
        <v>757</v>
      </c>
      <c r="B341" s="4" t="s">
        <v>5</v>
      </c>
      <c r="C341" s="4"/>
      <c r="D341" s="5"/>
      <c r="E341" s="5"/>
      <c r="F341" s="10"/>
      <c r="G341" s="11">
        <v>10.2052</v>
      </c>
      <c r="H341" s="12">
        <v>14.4321</v>
      </c>
      <c r="I341" s="13"/>
      <c r="J341" s="12">
        <v>569.2527</v>
      </c>
      <c r="K341" s="12">
        <v>716.4248</v>
      </c>
    </row>
    <row r="342" spans="1:11" ht="15" customHeight="1" x14ac:dyDescent="0.2">
      <c r="A342" s="14" t="s">
        <v>285</v>
      </c>
      <c r="B342" s="15" t="s">
        <v>6</v>
      </c>
      <c r="C342" s="16"/>
      <c r="D342" s="17"/>
      <c r="E342" s="17"/>
      <c r="F342" s="18"/>
      <c r="G342" s="19">
        <v>10.2052</v>
      </c>
      <c r="H342" s="20">
        <v>14.4321</v>
      </c>
      <c r="I342" s="21"/>
      <c r="J342" s="20">
        <v>569.2527</v>
      </c>
      <c r="K342" s="20">
        <v>716.4248</v>
      </c>
    </row>
    <row r="343" spans="1:11" ht="15" customHeight="1" x14ac:dyDescent="0.2">
      <c r="A343" s="22" t="s">
        <v>286</v>
      </c>
      <c r="B343" s="23" t="s">
        <v>8</v>
      </c>
      <c r="C343" s="23" t="s">
        <v>9</v>
      </c>
      <c r="D343" s="24" t="s">
        <v>20</v>
      </c>
      <c r="E343" s="24" t="s">
        <v>42</v>
      </c>
      <c r="F343" s="18"/>
      <c r="G343" s="19">
        <v>10.2052</v>
      </c>
      <c r="H343" s="20">
        <v>14.4321</v>
      </c>
      <c r="I343" s="21"/>
      <c r="J343" s="20">
        <v>569.2527</v>
      </c>
      <c r="K343" s="20">
        <v>716.4248</v>
      </c>
    </row>
    <row r="344" spans="1:11" ht="14.25" customHeight="1" x14ac:dyDescent="0.2">
      <c r="A344" s="25" t="s">
        <v>758</v>
      </c>
      <c r="B344" s="4" t="s">
        <v>5</v>
      </c>
      <c r="C344" s="4"/>
      <c r="D344" s="5"/>
      <c r="E344" s="5"/>
      <c r="F344" s="10"/>
      <c r="G344" s="11"/>
      <c r="H344" s="12"/>
      <c r="I344" s="13"/>
      <c r="J344" s="12"/>
      <c r="K344" s="12"/>
    </row>
    <row r="345" spans="1:11" ht="15" customHeight="1" x14ac:dyDescent="0.2">
      <c r="A345" s="14" t="s">
        <v>287</v>
      </c>
      <c r="B345" s="15" t="s">
        <v>6</v>
      </c>
      <c r="C345" s="16"/>
      <c r="D345" s="17"/>
      <c r="E345" s="17"/>
      <c r="F345" s="18"/>
      <c r="G345" s="19"/>
      <c r="H345" s="20"/>
      <c r="I345" s="21"/>
      <c r="J345" s="20"/>
      <c r="K345" s="20"/>
    </row>
    <row r="346" spans="1:11" ht="15" customHeight="1" x14ac:dyDescent="0.2">
      <c r="A346" s="22" t="s">
        <v>288</v>
      </c>
      <c r="B346" s="23" t="s">
        <v>8</v>
      </c>
      <c r="C346" s="23" t="s">
        <v>9</v>
      </c>
      <c r="D346" s="24" t="s">
        <v>20</v>
      </c>
      <c r="E346" s="24" t="s">
        <v>42</v>
      </c>
      <c r="F346" s="18"/>
      <c r="G346" s="19"/>
      <c r="H346" s="20"/>
      <c r="I346" s="21"/>
      <c r="J346" s="20"/>
      <c r="K346" s="20"/>
    </row>
    <row r="347" spans="1:11" ht="14.25" customHeight="1" x14ac:dyDescent="0.2">
      <c r="A347" s="25" t="s">
        <v>759</v>
      </c>
      <c r="B347" s="4" t="s">
        <v>5</v>
      </c>
      <c r="C347" s="4"/>
      <c r="D347" s="5"/>
      <c r="E347" s="5"/>
      <c r="F347" s="10">
        <v>1.1900000000000001E-2</v>
      </c>
      <c r="G347" s="11"/>
      <c r="H347" s="12"/>
      <c r="I347" s="13">
        <v>0.14000000000000001</v>
      </c>
      <c r="J347" s="12"/>
      <c r="K347" s="12"/>
    </row>
    <row r="348" spans="1:11" ht="15" customHeight="1" x14ac:dyDescent="0.2">
      <c r="A348" s="14" t="s">
        <v>289</v>
      </c>
      <c r="B348" s="15" t="s">
        <v>6</v>
      </c>
      <c r="C348" s="16"/>
      <c r="D348" s="17"/>
      <c r="E348" s="17"/>
      <c r="F348" s="18">
        <v>1.1900000000000001E-2</v>
      </c>
      <c r="G348" s="19"/>
      <c r="H348" s="20"/>
      <c r="I348" s="21">
        <v>0.14000000000000001</v>
      </c>
      <c r="J348" s="20"/>
      <c r="K348" s="20"/>
    </row>
    <row r="349" spans="1:11" ht="15" customHeight="1" x14ac:dyDescent="0.2">
      <c r="A349" s="22" t="s">
        <v>290</v>
      </c>
      <c r="B349" s="23" t="s">
        <v>8</v>
      </c>
      <c r="C349" s="23" t="s">
        <v>9</v>
      </c>
      <c r="D349" s="24" t="s">
        <v>10</v>
      </c>
      <c r="E349" s="24" t="s">
        <v>26</v>
      </c>
      <c r="F349" s="18">
        <v>1.1900000000000001E-2</v>
      </c>
      <c r="G349" s="19"/>
      <c r="H349" s="20"/>
      <c r="I349" s="21">
        <v>0.14000000000000001</v>
      </c>
      <c r="J349" s="20"/>
      <c r="K349" s="20"/>
    </row>
    <row r="350" spans="1:11" ht="15" customHeight="1" x14ac:dyDescent="0.2">
      <c r="A350" s="22" t="s">
        <v>291</v>
      </c>
      <c r="B350" s="23" t="s">
        <v>8</v>
      </c>
      <c r="C350" s="23" t="s">
        <v>9</v>
      </c>
      <c r="D350" s="24" t="s">
        <v>20</v>
      </c>
      <c r="E350" s="24" t="s">
        <v>17</v>
      </c>
      <c r="F350" s="18"/>
      <c r="G350" s="19"/>
      <c r="H350" s="20"/>
      <c r="I350" s="21"/>
      <c r="J350" s="20"/>
      <c r="K350" s="20"/>
    </row>
    <row r="351" spans="1:11" ht="14.25" customHeight="1" x14ac:dyDescent="0.2">
      <c r="A351" s="25" t="s">
        <v>760</v>
      </c>
      <c r="B351" s="4" t="s">
        <v>5</v>
      </c>
      <c r="C351" s="4"/>
      <c r="D351" s="5"/>
      <c r="E351" s="5"/>
      <c r="F351" s="10">
        <v>0.33289999999999997</v>
      </c>
      <c r="G351" s="11">
        <v>2.7199999999999998E-2</v>
      </c>
      <c r="H351" s="12">
        <v>1.4402999999999999</v>
      </c>
      <c r="I351" s="13">
        <v>16.585699999999999</v>
      </c>
      <c r="J351" s="12">
        <v>2.2242999999999999</v>
      </c>
      <c r="K351" s="12">
        <v>35.560600000000001</v>
      </c>
    </row>
    <row r="352" spans="1:11" ht="15" customHeight="1" x14ac:dyDescent="0.2">
      <c r="A352" s="14" t="s">
        <v>292</v>
      </c>
      <c r="B352" s="15" t="s">
        <v>6</v>
      </c>
      <c r="C352" s="16"/>
      <c r="D352" s="17"/>
      <c r="E352" s="17"/>
      <c r="F352" s="18">
        <v>0.33289999999999997</v>
      </c>
      <c r="G352" s="19">
        <v>2.7199999999999998E-2</v>
      </c>
      <c r="H352" s="20">
        <v>1.4402999999999999</v>
      </c>
      <c r="I352" s="21">
        <v>16.585699999999999</v>
      </c>
      <c r="J352" s="20">
        <v>2.2242999999999999</v>
      </c>
      <c r="K352" s="20">
        <v>35.560600000000001</v>
      </c>
    </row>
    <row r="353" spans="1:11" ht="15" customHeight="1" x14ac:dyDescent="0.2">
      <c r="A353" s="22" t="s">
        <v>293</v>
      </c>
      <c r="B353" s="23" t="s">
        <v>8</v>
      </c>
      <c r="C353" s="23" t="s">
        <v>9</v>
      </c>
      <c r="D353" s="24" t="s">
        <v>20</v>
      </c>
      <c r="E353" s="24" t="s">
        <v>32</v>
      </c>
      <c r="F353" s="18"/>
      <c r="G353" s="19"/>
      <c r="H353" s="20">
        <v>0.69599999999999995</v>
      </c>
      <c r="I353" s="21"/>
      <c r="J353" s="20"/>
      <c r="K353" s="20">
        <v>11.551500000000001</v>
      </c>
    </row>
    <row r="354" spans="1:11" ht="15" customHeight="1" x14ac:dyDescent="0.2">
      <c r="A354" s="22" t="s">
        <v>294</v>
      </c>
      <c r="B354" s="23" t="s">
        <v>8</v>
      </c>
      <c r="C354" s="23" t="s">
        <v>9</v>
      </c>
      <c r="D354" s="24" t="s">
        <v>20</v>
      </c>
      <c r="E354" s="24" t="s">
        <v>68</v>
      </c>
      <c r="F354" s="18">
        <v>0.33289999999999997</v>
      </c>
      <c r="G354" s="19">
        <v>2.7199999999999998E-2</v>
      </c>
      <c r="H354" s="20">
        <v>0.74419999999999997</v>
      </c>
      <c r="I354" s="21">
        <v>16.585699999999999</v>
      </c>
      <c r="J354" s="20">
        <v>2.2242999999999999</v>
      </c>
      <c r="K354" s="20">
        <v>24.0091</v>
      </c>
    </row>
    <row r="355" spans="1:11" ht="14.25" customHeight="1" x14ac:dyDescent="0.2">
      <c r="A355" s="25" t="s">
        <v>761</v>
      </c>
      <c r="B355" s="4" t="s">
        <v>5</v>
      </c>
      <c r="C355" s="4"/>
      <c r="D355" s="5"/>
      <c r="E355" s="5"/>
      <c r="F355" s="10">
        <v>41.451799999999999</v>
      </c>
      <c r="G355" s="11">
        <v>23.849699999999999</v>
      </c>
      <c r="H355" s="12">
        <v>14.791499999999999</v>
      </c>
      <c r="I355" s="13">
        <v>1547.7049999999999</v>
      </c>
      <c r="J355" s="12">
        <v>1096.4466</v>
      </c>
      <c r="K355" s="12">
        <v>817.30290000000002</v>
      </c>
    </row>
    <row r="356" spans="1:11" ht="15" customHeight="1" x14ac:dyDescent="0.2">
      <c r="A356" s="14" t="s">
        <v>295</v>
      </c>
      <c r="B356" s="15" t="s">
        <v>6</v>
      </c>
      <c r="C356" s="16"/>
      <c r="D356" s="17"/>
      <c r="E356" s="17"/>
      <c r="F356" s="18">
        <v>41.451799999999999</v>
      </c>
      <c r="G356" s="19">
        <v>23.849699999999999</v>
      </c>
      <c r="H356" s="20">
        <v>14.791499999999999</v>
      </c>
      <c r="I356" s="21">
        <v>1547.7049999999999</v>
      </c>
      <c r="J356" s="20">
        <v>1096.4466</v>
      </c>
      <c r="K356" s="20">
        <v>817.30290000000002</v>
      </c>
    </row>
    <row r="357" spans="1:11" ht="15" customHeight="1" x14ac:dyDescent="0.2">
      <c r="A357" s="22" t="s">
        <v>296</v>
      </c>
      <c r="B357" s="23" t="s">
        <v>8</v>
      </c>
      <c r="C357" s="23" t="s">
        <v>9</v>
      </c>
      <c r="D357" s="24" t="s">
        <v>20</v>
      </c>
      <c r="E357" s="24" t="s">
        <v>24</v>
      </c>
      <c r="F357" s="18"/>
      <c r="G357" s="19">
        <v>3.2099999999999997E-2</v>
      </c>
      <c r="H357" s="20">
        <v>0.19070000000000001</v>
      </c>
      <c r="I357" s="21"/>
      <c r="J357" s="20">
        <v>1.7567999999999999</v>
      </c>
      <c r="K357" s="20">
        <v>7.8956</v>
      </c>
    </row>
    <row r="358" spans="1:11" ht="15" customHeight="1" x14ac:dyDescent="0.2">
      <c r="A358" s="22" t="s">
        <v>297</v>
      </c>
      <c r="B358" s="23" t="s">
        <v>8</v>
      </c>
      <c r="C358" s="23" t="s">
        <v>9</v>
      </c>
      <c r="D358" s="24" t="s">
        <v>30</v>
      </c>
      <c r="E358" s="24" t="s">
        <v>103</v>
      </c>
      <c r="F358" s="18"/>
      <c r="G358" s="19"/>
      <c r="H358" s="20">
        <v>2.2185000000000001</v>
      </c>
      <c r="I358" s="21"/>
      <c r="J358" s="20"/>
      <c r="K358" s="20">
        <v>128.51750000000001</v>
      </c>
    </row>
    <row r="359" spans="1:11" ht="15" customHeight="1" x14ac:dyDescent="0.2">
      <c r="A359" s="22" t="s">
        <v>298</v>
      </c>
      <c r="B359" s="23" t="s">
        <v>8</v>
      </c>
      <c r="C359" s="23" t="s">
        <v>9</v>
      </c>
      <c r="D359" s="24" t="s">
        <v>20</v>
      </c>
      <c r="E359" s="24" t="s">
        <v>103</v>
      </c>
      <c r="F359" s="18"/>
      <c r="G359" s="19">
        <v>7.0191999999999997</v>
      </c>
      <c r="H359" s="20">
        <v>7.8216999999999999</v>
      </c>
      <c r="I359" s="21"/>
      <c r="J359" s="20">
        <v>471.142</v>
      </c>
      <c r="K359" s="20">
        <v>503.7824</v>
      </c>
    </row>
    <row r="360" spans="1:11" ht="15" customHeight="1" x14ac:dyDescent="0.2">
      <c r="A360" s="22" t="s">
        <v>299</v>
      </c>
      <c r="B360" s="23" t="s">
        <v>8</v>
      </c>
      <c r="C360" s="23" t="s">
        <v>9</v>
      </c>
      <c r="D360" s="24" t="s">
        <v>20</v>
      </c>
      <c r="E360" s="24" t="s">
        <v>42</v>
      </c>
      <c r="F360" s="18">
        <v>8.5007999999999999</v>
      </c>
      <c r="G360" s="19">
        <v>1.8512999999999999</v>
      </c>
      <c r="H360" s="20">
        <v>0.35020000000000001</v>
      </c>
      <c r="I360" s="21">
        <v>288.41750000000002</v>
      </c>
      <c r="J360" s="20">
        <v>66.691299999999998</v>
      </c>
      <c r="K360" s="20">
        <v>13.4161</v>
      </c>
    </row>
    <row r="361" spans="1:11" ht="15" customHeight="1" x14ac:dyDescent="0.2">
      <c r="A361" s="22" t="s">
        <v>300</v>
      </c>
      <c r="B361" s="23" t="s">
        <v>8</v>
      </c>
      <c r="C361" s="23" t="s">
        <v>9</v>
      </c>
      <c r="D361" s="24" t="s">
        <v>20</v>
      </c>
      <c r="E361" s="24" t="s">
        <v>42</v>
      </c>
      <c r="F361" s="18">
        <v>32.951099999999997</v>
      </c>
      <c r="G361" s="19">
        <v>14.947100000000001</v>
      </c>
      <c r="H361" s="20">
        <v>4.2103999999999999</v>
      </c>
      <c r="I361" s="21">
        <v>1259.2874999999999</v>
      </c>
      <c r="J361" s="20">
        <v>556.85670000000005</v>
      </c>
      <c r="K361" s="20">
        <v>163.69149999999999</v>
      </c>
    </row>
    <row r="362" spans="1:11" ht="14.25" customHeight="1" x14ac:dyDescent="0.2">
      <c r="A362" s="25" t="s">
        <v>762</v>
      </c>
      <c r="B362" s="4" t="s">
        <v>5</v>
      </c>
      <c r="C362" s="4"/>
      <c r="D362" s="5"/>
      <c r="E362" s="5"/>
      <c r="F362" s="10">
        <v>168.57919999999999</v>
      </c>
      <c r="G362" s="11">
        <v>187.82560000000001</v>
      </c>
      <c r="H362" s="12">
        <v>100.9211</v>
      </c>
      <c r="I362" s="13">
        <v>4051.7896000000001</v>
      </c>
      <c r="J362" s="12">
        <v>4420.8852999999999</v>
      </c>
      <c r="K362" s="12">
        <v>2421.1071000000002</v>
      </c>
    </row>
    <row r="363" spans="1:11" ht="15" customHeight="1" x14ac:dyDescent="0.2">
      <c r="A363" s="14" t="s">
        <v>301</v>
      </c>
      <c r="B363" s="15" t="s">
        <v>6</v>
      </c>
      <c r="C363" s="16"/>
      <c r="D363" s="17"/>
      <c r="E363" s="17"/>
      <c r="F363" s="18">
        <v>168.57919999999999</v>
      </c>
      <c r="G363" s="19">
        <v>187.82560000000001</v>
      </c>
      <c r="H363" s="20">
        <v>100.9211</v>
      </c>
      <c r="I363" s="21">
        <v>4051.7896000000001</v>
      </c>
      <c r="J363" s="20">
        <v>4420.8852999999999</v>
      </c>
      <c r="K363" s="20">
        <v>2421.1071000000002</v>
      </c>
    </row>
    <row r="364" spans="1:11" ht="15" customHeight="1" x14ac:dyDescent="0.2">
      <c r="A364" s="22" t="s">
        <v>823</v>
      </c>
      <c r="B364" s="23" t="s">
        <v>8</v>
      </c>
      <c r="C364" s="23" t="s">
        <v>9</v>
      </c>
      <c r="D364" s="24" t="s">
        <v>30</v>
      </c>
      <c r="E364" s="24" t="s">
        <v>118</v>
      </c>
      <c r="F364" s="18"/>
      <c r="G364" s="19"/>
      <c r="H364" s="20"/>
      <c r="I364" s="21"/>
      <c r="J364" s="20"/>
      <c r="K364" s="20"/>
    </row>
    <row r="365" spans="1:11" ht="15" customHeight="1" x14ac:dyDescent="0.2">
      <c r="A365" s="22" t="s">
        <v>302</v>
      </c>
      <c r="B365" s="23" t="s">
        <v>8</v>
      </c>
      <c r="C365" s="23" t="s">
        <v>9</v>
      </c>
      <c r="D365" s="24" t="s">
        <v>30</v>
      </c>
      <c r="E365" s="24" t="s">
        <v>34</v>
      </c>
      <c r="F365" s="18">
        <v>53.822000000000003</v>
      </c>
      <c r="G365" s="19">
        <v>66.983199999999997</v>
      </c>
      <c r="H365" s="20">
        <v>42.143000000000001</v>
      </c>
      <c r="I365" s="21">
        <v>1325.5655999999999</v>
      </c>
      <c r="J365" s="20">
        <v>1594.76</v>
      </c>
      <c r="K365" s="20">
        <v>1015.3249</v>
      </c>
    </row>
    <row r="366" spans="1:11" ht="15" customHeight="1" x14ac:dyDescent="0.2">
      <c r="A366" s="22" t="s">
        <v>303</v>
      </c>
      <c r="B366" s="23" t="s">
        <v>8</v>
      </c>
      <c r="C366" s="23" t="s">
        <v>9</v>
      </c>
      <c r="D366" s="24" t="s">
        <v>30</v>
      </c>
      <c r="E366" s="24" t="s">
        <v>34</v>
      </c>
      <c r="F366" s="18">
        <v>81.760300000000001</v>
      </c>
      <c r="G366" s="19">
        <v>83.135000000000005</v>
      </c>
      <c r="H366" s="20">
        <v>53.412599999999998</v>
      </c>
      <c r="I366" s="21">
        <v>1959.0420999999999</v>
      </c>
      <c r="J366" s="20">
        <v>1973.6881000000001</v>
      </c>
      <c r="K366" s="20">
        <v>1284.8007</v>
      </c>
    </row>
    <row r="367" spans="1:11" ht="15" customHeight="1" x14ac:dyDescent="0.2">
      <c r="A367" s="22" t="s">
        <v>304</v>
      </c>
      <c r="B367" s="23" t="s">
        <v>8</v>
      </c>
      <c r="C367" s="23" t="s">
        <v>9</v>
      </c>
      <c r="D367" s="24" t="s">
        <v>30</v>
      </c>
      <c r="E367" s="24" t="s">
        <v>34</v>
      </c>
      <c r="F367" s="18">
        <v>24.3629</v>
      </c>
      <c r="G367" s="19">
        <v>18.871200000000002</v>
      </c>
      <c r="H367" s="20">
        <v>0.95489999999999997</v>
      </c>
      <c r="I367" s="21">
        <v>571.42309999999998</v>
      </c>
      <c r="J367" s="20">
        <v>430.0342</v>
      </c>
      <c r="K367" s="20">
        <v>21.356300000000001</v>
      </c>
    </row>
    <row r="368" spans="1:11" ht="15" customHeight="1" x14ac:dyDescent="0.2">
      <c r="A368" s="22" t="s">
        <v>305</v>
      </c>
      <c r="B368" s="23" t="s">
        <v>8</v>
      </c>
      <c r="C368" s="23" t="s">
        <v>9</v>
      </c>
      <c r="D368" s="24" t="s">
        <v>30</v>
      </c>
      <c r="E368" s="24" t="s">
        <v>34</v>
      </c>
      <c r="F368" s="18"/>
      <c r="G368" s="19"/>
      <c r="H368" s="20"/>
      <c r="I368" s="21"/>
      <c r="J368" s="20"/>
      <c r="K368" s="20"/>
    </row>
    <row r="369" spans="1:11" ht="15" customHeight="1" x14ac:dyDescent="0.2">
      <c r="A369" s="22" t="s">
        <v>306</v>
      </c>
      <c r="B369" s="23" t="s">
        <v>8</v>
      </c>
      <c r="C369" s="23" t="s">
        <v>9</v>
      </c>
      <c r="D369" s="24" t="s">
        <v>10</v>
      </c>
      <c r="E369" s="24" t="s">
        <v>34</v>
      </c>
      <c r="F369" s="18">
        <v>6.2572999999999999</v>
      </c>
      <c r="G369" s="19">
        <v>18.031600000000001</v>
      </c>
      <c r="H369" s="20">
        <v>4.2451999999999996</v>
      </c>
      <c r="I369" s="21">
        <v>140.29249999999999</v>
      </c>
      <c r="J369" s="20">
        <v>398.21929999999998</v>
      </c>
      <c r="K369" s="20">
        <v>95.220100000000002</v>
      </c>
    </row>
    <row r="370" spans="1:11" ht="15" customHeight="1" x14ac:dyDescent="0.2">
      <c r="A370" s="22" t="s">
        <v>307</v>
      </c>
      <c r="B370" s="23" t="s">
        <v>8</v>
      </c>
      <c r="C370" s="23" t="s">
        <v>9</v>
      </c>
      <c r="D370" s="24" t="s">
        <v>20</v>
      </c>
      <c r="E370" s="24" t="s">
        <v>37</v>
      </c>
      <c r="F370" s="18"/>
      <c r="G370" s="19"/>
      <c r="H370" s="20">
        <v>0.16520000000000001</v>
      </c>
      <c r="I370" s="21"/>
      <c r="J370" s="20"/>
      <c r="K370" s="20">
        <v>4.4053000000000004</v>
      </c>
    </row>
    <row r="371" spans="1:11" ht="15" customHeight="1" x14ac:dyDescent="0.2">
      <c r="A371" s="22" t="s">
        <v>308</v>
      </c>
      <c r="B371" s="23" t="s">
        <v>8</v>
      </c>
      <c r="C371" s="23" t="s">
        <v>9</v>
      </c>
      <c r="D371" s="24" t="s">
        <v>10</v>
      </c>
      <c r="E371" s="24" t="s">
        <v>37</v>
      </c>
      <c r="F371" s="18">
        <v>2.9600000000000001E-2</v>
      </c>
      <c r="G371" s="19"/>
      <c r="H371" s="20"/>
      <c r="I371" s="21">
        <v>0.8246</v>
      </c>
      <c r="J371" s="20"/>
      <c r="K371" s="20"/>
    </row>
    <row r="372" spans="1:11" ht="15" customHeight="1" x14ac:dyDescent="0.2">
      <c r="A372" s="22" t="s">
        <v>309</v>
      </c>
      <c r="B372" s="23" t="s">
        <v>8</v>
      </c>
      <c r="C372" s="23" t="s">
        <v>9</v>
      </c>
      <c r="D372" s="24" t="s">
        <v>10</v>
      </c>
      <c r="E372" s="24" t="s">
        <v>37</v>
      </c>
      <c r="F372" s="18"/>
      <c r="G372" s="19"/>
      <c r="H372" s="20"/>
      <c r="I372" s="21"/>
      <c r="J372" s="20"/>
      <c r="K372" s="20"/>
    </row>
    <row r="373" spans="1:11" ht="15" customHeight="1" x14ac:dyDescent="0.2">
      <c r="A373" s="22" t="s">
        <v>310</v>
      </c>
      <c r="B373" s="23" t="s">
        <v>8</v>
      </c>
      <c r="C373" s="23" t="s">
        <v>9</v>
      </c>
      <c r="D373" s="24" t="s">
        <v>10</v>
      </c>
      <c r="E373" s="24" t="s">
        <v>42</v>
      </c>
      <c r="F373" s="18">
        <v>2.3472</v>
      </c>
      <c r="G373" s="19">
        <v>0.8044</v>
      </c>
      <c r="H373" s="20"/>
      <c r="I373" s="21">
        <v>54.641800000000003</v>
      </c>
      <c r="J373" s="20">
        <v>24.183599999999998</v>
      </c>
      <c r="K373" s="20"/>
    </row>
    <row r="374" spans="1:11" ht="14.25" customHeight="1" x14ac:dyDescent="0.2">
      <c r="A374" s="25" t="s">
        <v>763</v>
      </c>
      <c r="B374" s="4" t="s">
        <v>5</v>
      </c>
      <c r="C374" s="4"/>
      <c r="D374" s="5"/>
      <c r="E374" s="5"/>
      <c r="F374" s="10">
        <v>6.1033999999999997</v>
      </c>
      <c r="G374" s="11">
        <v>8.2299999999999998E-2</v>
      </c>
      <c r="H374" s="12"/>
      <c r="I374" s="13">
        <v>422.25490000000002</v>
      </c>
      <c r="J374" s="12">
        <v>3.4649000000000001</v>
      </c>
      <c r="K374" s="12"/>
    </row>
    <row r="375" spans="1:11" ht="15" customHeight="1" x14ac:dyDescent="0.2">
      <c r="A375" s="14" t="s">
        <v>311</v>
      </c>
      <c r="B375" s="15" t="s">
        <v>6</v>
      </c>
      <c r="C375" s="16"/>
      <c r="D375" s="17"/>
      <c r="E375" s="17"/>
      <c r="F375" s="18">
        <v>6.1033999999999997</v>
      </c>
      <c r="G375" s="19">
        <v>8.2299999999999998E-2</v>
      </c>
      <c r="H375" s="20"/>
      <c r="I375" s="21">
        <v>422.25490000000002</v>
      </c>
      <c r="J375" s="20">
        <v>3.4649000000000001</v>
      </c>
      <c r="K375" s="20"/>
    </row>
    <row r="376" spans="1:11" ht="15" customHeight="1" x14ac:dyDescent="0.2">
      <c r="A376" s="22" t="s">
        <v>312</v>
      </c>
      <c r="B376" s="23" t="s">
        <v>8</v>
      </c>
      <c r="C376" s="23" t="s">
        <v>9</v>
      </c>
      <c r="D376" s="24" t="s">
        <v>30</v>
      </c>
      <c r="E376" s="24" t="s">
        <v>103</v>
      </c>
      <c r="F376" s="18">
        <v>5.9740000000000002</v>
      </c>
      <c r="G376" s="19"/>
      <c r="H376" s="20"/>
      <c r="I376" s="21">
        <v>416.80889999999999</v>
      </c>
      <c r="J376" s="20"/>
      <c r="K376" s="20"/>
    </row>
    <row r="377" spans="1:11" ht="15" customHeight="1" x14ac:dyDescent="0.2">
      <c r="A377" s="22" t="s">
        <v>313</v>
      </c>
      <c r="B377" s="23" t="s">
        <v>8</v>
      </c>
      <c r="C377" s="23" t="s">
        <v>9</v>
      </c>
      <c r="D377" s="24" t="s">
        <v>20</v>
      </c>
      <c r="E377" s="24" t="s">
        <v>17</v>
      </c>
      <c r="F377" s="18">
        <v>0.1293</v>
      </c>
      <c r="G377" s="19">
        <v>8.2299999999999998E-2</v>
      </c>
      <c r="H377" s="20"/>
      <c r="I377" s="21">
        <v>5.4459999999999997</v>
      </c>
      <c r="J377" s="20">
        <v>3.4649000000000001</v>
      </c>
      <c r="K377" s="20"/>
    </row>
    <row r="378" spans="1:11" ht="14.25" customHeight="1" x14ac:dyDescent="0.2">
      <c r="A378" s="25" t="s">
        <v>764</v>
      </c>
      <c r="B378" s="4" t="s">
        <v>5</v>
      </c>
      <c r="C378" s="4"/>
      <c r="D378" s="5"/>
      <c r="E378" s="5"/>
      <c r="F378" s="10">
        <v>11.181699999999999</v>
      </c>
      <c r="G378" s="11">
        <v>15.1816</v>
      </c>
      <c r="H378" s="12">
        <v>9.6165000000000003</v>
      </c>
      <c r="I378" s="13">
        <v>586.38080000000002</v>
      </c>
      <c r="J378" s="12">
        <v>752.94479999999999</v>
      </c>
      <c r="K378" s="12">
        <v>438.76389999999998</v>
      </c>
    </row>
    <row r="379" spans="1:11" ht="15" customHeight="1" x14ac:dyDescent="0.2">
      <c r="A379" s="14" t="s">
        <v>314</v>
      </c>
      <c r="B379" s="15" t="s">
        <v>6</v>
      </c>
      <c r="C379" s="16"/>
      <c r="D379" s="17"/>
      <c r="E379" s="17"/>
      <c r="F379" s="18">
        <v>11.181699999999999</v>
      </c>
      <c r="G379" s="19">
        <v>15.1816</v>
      </c>
      <c r="H379" s="20">
        <v>9.6165000000000003</v>
      </c>
      <c r="I379" s="21">
        <v>586.38080000000002</v>
      </c>
      <c r="J379" s="20">
        <v>752.94479999999999</v>
      </c>
      <c r="K379" s="20">
        <v>438.76389999999998</v>
      </c>
    </row>
    <row r="380" spans="1:11" ht="15" customHeight="1" x14ac:dyDescent="0.2">
      <c r="A380" s="22" t="s">
        <v>315</v>
      </c>
      <c r="B380" s="23" t="s">
        <v>8</v>
      </c>
      <c r="C380" s="23" t="s">
        <v>9</v>
      </c>
      <c r="D380" s="24" t="s">
        <v>30</v>
      </c>
      <c r="E380" s="24" t="s">
        <v>42</v>
      </c>
      <c r="F380" s="18">
        <v>11.181699999999999</v>
      </c>
      <c r="G380" s="19">
        <v>15.1816</v>
      </c>
      <c r="H380" s="20">
        <v>9.6165000000000003</v>
      </c>
      <c r="I380" s="21">
        <v>586.38080000000002</v>
      </c>
      <c r="J380" s="20">
        <v>752.94479999999999</v>
      </c>
      <c r="K380" s="20">
        <v>438.76389999999998</v>
      </c>
    </row>
    <row r="381" spans="1:11" ht="14.25" customHeight="1" x14ac:dyDescent="0.2">
      <c r="A381" s="25" t="s">
        <v>765</v>
      </c>
      <c r="B381" s="4" t="s">
        <v>5</v>
      </c>
      <c r="C381" s="4"/>
      <c r="D381" s="5"/>
      <c r="E381" s="5"/>
      <c r="F381" s="10">
        <v>20.5808</v>
      </c>
      <c r="G381" s="11">
        <v>16.885999999999999</v>
      </c>
      <c r="H381" s="12">
        <v>8.2624999999999993</v>
      </c>
      <c r="I381" s="13">
        <v>116.04819999999999</v>
      </c>
      <c r="J381" s="12">
        <v>107.1939</v>
      </c>
      <c r="K381" s="12">
        <v>44.347099999999998</v>
      </c>
    </row>
    <row r="382" spans="1:11" ht="15" customHeight="1" x14ac:dyDescent="0.2">
      <c r="A382" s="14" t="s">
        <v>316</v>
      </c>
      <c r="B382" s="15" t="s">
        <v>6</v>
      </c>
      <c r="C382" s="16"/>
      <c r="D382" s="17"/>
      <c r="E382" s="17"/>
      <c r="F382" s="18">
        <v>20.5808</v>
      </c>
      <c r="G382" s="19">
        <v>16.885999999999999</v>
      </c>
      <c r="H382" s="20">
        <v>8.2624999999999993</v>
      </c>
      <c r="I382" s="21">
        <v>116.04819999999999</v>
      </c>
      <c r="J382" s="20">
        <v>107.1939</v>
      </c>
      <c r="K382" s="20">
        <v>44.347099999999998</v>
      </c>
    </row>
    <row r="383" spans="1:11" ht="15" customHeight="1" x14ac:dyDescent="0.2">
      <c r="A383" s="22" t="s">
        <v>317</v>
      </c>
      <c r="B383" s="23" t="s">
        <v>8</v>
      </c>
      <c r="C383" s="23" t="s">
        <v>9</v>
      </c>
      <c r="D383" s="24" t="s">
        <v>69</v>
      </c>
      <c r="E383" s="24" t="s">
        <v>88</v>
      </c>
      <c r="F383" s="18">
        <v>8.2699999999999996E-2</v>
      </c>
      <c r="G383" s="19">
        <v>4.5199999999999997E-2</v>
      </c>
      <c r="H383" s="20">
        <v>5.4999999999999997E-3</v>
      </c>
      <c r="I383" s="21">
        <v>0.35360000000000003</v>
      </c>
      <c r="J383" s="20">
        <v>0.2</v>
      </c>
      <c r="K383" s="20">
        <v>2.5000000000000001E-2</v>
      </c>
    </row>
    <row r="384" spans="1:11" ht="15" customHeight="1" x14ac:dyDescent="0.2">
      <c r="A384" s="22" t="s">
        <v>318</v>
      </c>
      <c r="B384" s="23" t="s">
        <v>8</v>
      </c>
      <c r="C384" s="23" t="s">
        <v>9</v>
      </c>
      <c r="D384" s="24" t="s">
        <v>69</v>
      </c>
      <c r="E384" s="24" t="s">
        <v>88</v>
      </c>
      <c r="F384" s="18">
        <v>2.0510000000000002</v>
      </c>
      <c r="G384" s="19">
        <v>2.5941999999999998</v>
      </c>
      <c r="H384" s="20">
        <v>0.76219999999999999</v>
      </c>
      <c r="I384" s="21">
        <v>8.6088000000000005</v>
      </c>
      <c r="J384" s="20">
        <v>11.446400000000001</v>
      </c>
      <c r="K384" s="20">
        <v>3.6349999999999998</v>
      </c>
    </row>
    <row r="385" spans="1:11" ht="15" customHeight="1" x14ac:dyDescent="0.2">
      <c r="A385" s="22" t="s">
        <v>319</v>
      </c>
      <c r="B385" s="23" t="s">
        <v>8</v>
      </c>
      <c r="C385" s="23" t="s">
        <v>9</v>
      </c>
      <c r="D385" s="24" t="s">
        <v>69</v>
      </c>
      <c r="E385" s="24" t="s">
        <v>15</v>
      </c>
      <c r="F385" s="18">
        <v>10.297499999999999</v>
      </c>
      <c r="G385" s="19">
        <v>4.8240999999999996</v>
      </c>
      <c r="H385" s="20">
        <v>4.976</v>
      </c>
      <c r="I385" s="21">
        <v>49.665700000000001</v>
      </c>
      <c r="J385" s="20">
        <v>27.7622</v>
      </c>
      <c r="K385" s="20">
        <v>22.308599999999998</v>
      </c>
    </row>
    <row r="386" spans="1:11" ht="15" customHeight="1" x14ac:dyDescent="0.2">
      <c r="A386" s="22" t="s">
        <v>320</v>
      </c>
      <c r="B386" s="23" t="s">
        <v>8</v>
      </c>
      <c r="C386" s="23" t="s">
        <v>9</v>
      </c>
      <c r="D386" s="24" t="s">
        <v>69</v>
      </c>
      <c r="E386" s="24" t="s">
        <v>15</v>
      </c>
      <c r="F386" s="18">
        <v>0.2089</v>
      </c>
      <c r="G386" s="19"/>
      <c r="H386" s="20"/>
      <c r="I386" s="21">
        <v>1.25</v>
      </c>
      <c r="J386" s="20"/>
      <c r="K386" s="20"/>
    </row>
    <row r="387" spans="1:11" ht="15" customHeight="1" x14ac:dyDescent="0.2">
      <c r="A387" s="22" t="s">
        <v>321</v>
      </c>
      <c r="B387" s="23" t="s">
        <v>8</v>
      </c>
      <c r="C387" s="23" t="s">
        <v>9</v>
      </c>
      <c r="D387" s="24" t="s">
        <v>10</v>
      </c>
      <c r="E387" s="24" t="s">
        <v>99</v>
      </c>
      <c r="F387" s="18"/>
      <c r="G387" s="19"/>
      <c r="H387" s="20">
        <v>0.18790000000000001</v>
      </c>
      <c r="I387" s="21"/>
      <c r="J387" s="20"/>
      <c r="K387" s="20">
        <v>1.0885</v>
      </c>
    </row>
    <row r="388" spans="1:11" ht="15" customHeight="1" x14ac:dyDescent="0.2">
      <c r="A388" s="22" t="s">
        <v>322</v>
      </c>
      <c r="B388" s="23" t="s">
        <v>8</v>
      </c>
      <c r="C388" s="23" t="s">
        <v>9</v>
      </c>
      <c r="D388" s="24" t="s">
        <v>10</v>
      </c>
      <c r="E388" s="24" t="s">
        <v>103</v>
      </c>
      <c r="F388" s="18">
        <v>1.4366000000000001</v>
      </c>
      <c r="G388" s="19">
        <v>2.8525</v>
      </c>
      <c r="H388" s="20">
        <v>1.1071</v>
      </c>
      <c r="I388" s="21">
        <v>10.09</v>
      </c>
      <c r="J388" s="20">
        <v>20.329999999999998</v>
      </c>
      <c r="K388" s="20">
        <v>7.64</v>
      </c>
    </row>
    <row r="389" spans="1:11" ht="15" customHeight="1" x14ac:dyDescent="0.2">
      <c r="A389" s="22" t="s">
        <v>323</v>
      </c>
      <c r="B389" s="23" t="s">
        <v>8</v>
      </c>
      <c r="C389" s="23" t="s">
        <v>9</v>
      </c>
      <c r="D389" s="24" t="s">
        <v>69</v>
      </c>
      <c r="E389" s="24" t="s">
        <v>103</v>
      </c>
      <c r="F389" s="18">
        <v>6.5038999999999998</v>
      </c>
      <c r="G389" s="19">
        <v>6.5046999999999997</v>
      </c>
      <c r="H389" s="20">
        <v>1.2238</v>
      </c>
      <c r="I389" s="21">
        <v>46.08</v>
      </c>
      <c r="J389" s="20">
        <v>47.101700000000001</v>
      </c>
      <c r="K389" s="20">
        <v>9.65</v>
      </c>
    </row>
    <row r="390" spans="1:11" ht="15" customHeight="1" x14ac:dyDescent="0.2">
      <c r="A390" s="22" t="s">
        <v>324</v>
      </c>
      <c r="B390" s="23" t="s">
        <v>8</v>
      </c>
      <c r="C390" s="23" t="s">
        <v>9</v>
      </c>
      <c r="D390" s="24" t="s">
        <v>30</v>
      </c>
      <c r="E390" s="24" t="s">
        <v>103</v>
      </c>
      <c r="F390" s="18"/>
      <c r="G390" s="19">
        <v>6.5199999999999994E-2</v>
      </c>
      <c r="H390" s="20"/>
      <c r="I390" s="21"/>
      <c r="J390" s="20">
        <v>0.35370000000000001</v>
      </c>
      <c r="K390" s="20"/>
    </row>
    <row r="391" spans="1:11" ht="14.25" customHeight="1" x14ac:dyDescent="0.2">
      <c r="A391" s="25" t="s">
        <v>766</v>
      </c>
      <c r="B391" s="4" t="s">
        <v>5</v>
      </c>
      <c r="C391" s="4"/>
      <c r="D391" s="5"/>
      <c r="E391" s="5"/>
      <c r="F391" s="10">
        <v>7.0000000000000001E-3</v>
      </c>
      <c r="G391" s="11"/>
      <c r="H391" s="12"/>
      <c r="I391" s="13">
        <v>0.08</v>
      </c>
      <c r="J391" s="12"/>
      <c r="K391" s="12"/>
    </row>
    <row r="392" spans="1:11" ht="15" customHeight="1" x14ac:dyDescent="0.2">
      <c r="A392" s="14" t="s">
        <v>325</v>
      </c>
      <c r="B392" s="15" t="s">
        <v>6</v>
      </c>
      <c r="C392" s="16"/>
      <c r="D392" s="17"/>
      <c r="E392" s="17"/>
      <c r="F392" s="18">
        <v>7.0000000000000001E-3</v>
      </c>
      <c r="G392" s="19"/>
      <c r="H392" s="20"/>
      <c r="I392" s="21">
        <v>0.08</v>
      </c>
      <c r="J392" s="20"/>
      <c r="K392" s="20"/>
    </row>
    <row r="393" spans="1:11" ht="15" customHeight="1" x14ac:dyDescent="0.2">
      <c r="A393" s="22" t="s">
        <v>326</v>
      </c>
      <c r="B393" s="23" t="s">
        <v>8</v>
      </c>
      <c r="C393" s="23" t="s">
        <v>9</v>
      </c>
      <c r="D393" s="24" t="s">
        <v>30</v>
      </c>
      <c r="E393" s="24" t="s">
        <v>17</v>
      </c>
      <c r="F393" s="18">
        <v>7.0000000000000001E-3</v>
      </c>
      <c r="G393" s="19"/>
      <c r="H393" s="20"/>
      <c r="I393" s="21">
        <v>0.08</v>
      </c>
      <c r="J393" s="20"/>
      <c r="K393" s="20"/>
    </row>
    <row r="394" spans="1:11" ht="14.25" customHeight="1" x14ac:dyDescent="0.2">
      <c r="A394" s="25" t="s">
        <v>767</v>
      </c>
      <c r="B394" s="4" t="s">
        <v>5</v>
      </c>
      <c r="C394" s="4"/>
      <c r="D394" s="5"/>
      <c r="E394" s="5"/>
      <c r="F394" s="10">
        <v>394.68380000000002</v>
      </c>
      <c r="G394" s="11">
        <v>409.49610000000001</v>
      </c>
      <c r="H394" s="12">
        <v>321.2638</v>
      </c>
      <c r="I394" s="13">
        <v>18974.913799999998</v>
      </c>
      <c r="J394" s="12">
        <v>19732.122100000001</v>
      </c>
      <c r="K394" s="12">
        <v>15809.1695</v>
      </c>
    </row>
    <row r="395" spans="1:11" ht="15" customHeight="1" x14ac:dyDescent="0.2">
      <c r="A395" s="14" t="s">
        <v>327</v>
      </c>
      <c r="B395" s="15" t="s">
        <v>6</v>
      </c>
      <c r="C395" s="16"/>
      <c r="D395" s="17"/>
      <c r="E395" s="17"/>
      <c r="F395" s="18">
        <v>394.4622</v>
      </c>
      <c r="G395" s="19">
        <v>406.93380000000002</v>
      </c>
      <c r="H395" s="20">
        <v>320.21539999999999</v>
      </c>
      <c r="I395" s="21">
        <v>18966.535500000002</v>
      </c>
      <c r="J395" s="20">
        <v>19594.108899999999</v>
      </c>
      <c r="K395" s="20">
        <v>15751.087</v>
      </c>
    </row>
    <row r="396" spans="1:11" ht="15" customHeight="1" x14ac:dyDescent="0.2">
      <c r="A396" s="22" t="s">
        <v>328</v>
      </c>
      <c r="B396" s="23" t="s">
        <v>8</v>
      </c>
      <c r="C396" s="23" t="s">
        <v>9</v>
      </c>
      <c r="D396" s="24" t="s">
        <v>30</v>
      </c>
      <c r="E396" s="24" t="s">
        <v>21</v>
      </c>
      <c r="F396" s="18"/>
      <c r="G396" s="19"/>
      <c r="H396" s="20">
        <v>0.80289999999999995</v>
      </c>
      <c r="I396" s="21"/>
      <c r="J396" s="20"/>
      <c r="K396" s="20">
        <v>36.833599999999997</v>
      </c>
    </row>
    <row r="397" spans="1:11" ht="15" customHeight="1" x14ac:dyDescent="0.2">
      <c r="A397" s="22" t="s">
        <v>329</v>
      </c>
      <c r="B397" s="23" t="s">
        <v>8</v>
      </c>
      <c r="C397" s="23" t="s">
        <v>9</v>
      </c>
      <c r="D397" s="24" t="s">
        <v>20</v>
      </c>
      <c r="E397" s="24" t="s">
        <v>21</v>
      </c>
      <c r="F397" s="18">
        <v>9.9892000000000003</v>
      </c>
      <c r="G397" s="19">
        <v>8.1153999999999993</v>
      </c>
      <c r="H397" s="20">
        <v>3.5836999999999999</v>
      </c>
      <c r="I397" s="21">
        <v>492.51530000000002</v>
      </c>
      <c r="J397" s="20">
        <v>366.96510000000001</v>
      </c>
      <c r="K397" s="20">
        <v>145.6557</v>
      </c>
    </row>
    <row r="398" spans="1:11" ht="15" customHeight="1" x14ac:dyDescent="0.2">
      <c r="A398" s="22" t="s">
        <v>330</v>
      </c>
      <c r="B398" s="23" t="s">
        <v>8</v>
      </c>
      <c r="C398" s="23" t="s">
        <v>9</v>
      </c>
      <c r="D398" s="24" t="s">
        <v>30</v>
      </c>
      <c r="E398" s="24" t="s">
        <v>21</v>
      </c>
      <c r="F398" s="18">
        <v>2.3199999999999998E-2</v>
      </c>
      <c r="G398" s="19">
        <v>2.375</v>
      </c>
      <c r="H398" s="20">
        <v>2.0299</v>
      </c>
      <c r="I398" s="21">
        <v>1.054</v>
      </c>
      <c r="J398" s="20">
        <v>113.97580000000001</v>
      </c>
      <c r="K398" s="20">
        <v>89.836200000000005</v>
      </c>
    </row>
    <row r="399" spans="1:11" ht="15" customHeight="1" x14ac:dyDescent="0.2">
      <c r="A399" s="22" t="s">
        <v>331</v>
      </c>
      <c r="B399" s="23" t="s">
        <v>8</v>
      </c>
      <c r="C399" s="23" t="s">
        <v>9</v>
      </c>
      <c r="D399" s="24" t="s">
        <v>20</v>
      </c>
      <c r="E399" s="24" t="s">
        <v>21</v>
      </c>
      <c r="F399" s="18">
        <v>12.8912</v>
      </c>
      <c r="G399" s="19">
        <v>14.945399999999999</v>
      </c>
      <c r="H399" s="20">
        <v>2.4279000000000002</v>
      </c>
      <c r="I399" s="21">
        <v>607.44449999999995</v>
      </c>
      <c r="J399" s="20">
        <v>678.69550000000004</v>
      </c>
      <c r="K399" s="20">
        <v>103.8368</v>
      </c>
    </row>
    <row r="400" spans="1:11" ht="15" customHeight="1" x14ac:dyDescent="0.2">
      <c r="A400" s="22" t="s">
        <v>332</v>
      </c>
      <c r="B400" s="23" t="s">
        <v>8</v>
      </c>
      <c r="C400" s="23" t="s">
        <v>9</v>
      </c>
      <c r="D400" s="24" t="s">
        <v>10</v>
      </c>
      <c r="E400" s="24" t="s">
        <v>21</v>
      </c>
      <c r="F400" s="18"/>
      <c r="G400" s="19">
        <v>0.01</v>
      </c>
      <c r="H400" s="20">
        <v>1.5183</v>
      </c>
      <c r="I400" s="21"/>
      <c r="J400" s="20">
        <v>0.48130000000000001</v>
      </c>
      <c r="K400" s="20">
        <v>68.4452</v>
      </c>
    </row>
    <row r="401" spans="1:11" ht="15" customHeight="1" x14ac:dyDescent="0.2">
      <c r="A401" s="22" t="s">
        <v>333</v>
      </c>
      <c r="B401" s="23" t="s">
        <v>8</v>
      </c>
      <c r="C401" s="23" t="s">
        <v>9</v>
      </c>
      <c r="D401" s="24" t="s">
        <v>30</v>
      </c>
      <c r="E401" s="24" t="s">
        <v>21</v>
      </c>
      <c r="F401" s="18">
        <v>32.355400000000003</v>
      </c>
      <c r="G401" s="19">
        <v>38.555399999999999</v>
      </c>
      <c r="H401" s="20">
        <v>28.667999999999999</v>
      </c>
      <c r="I401" s="21">
        <v>1339.7692</v>
      </c>
      <c r="J401" s="20">
        <v>1517.8848</v>
      </c>
      <c r="K401" s="20">
        <v>1147.3356000000001</v>
      </c>
    </row>
    <row r="402" spans="1:11" ht="15" customHeight="1" x14ac:dyDescent="0.2">
      <c r="A402" s="22" t="s">
        <v>334</v>
      </c>
      <c r="B402" s="23" t="s">
        <v>8</v>
      </c>
      <c r="C402" s="23" t="s">
        <v>9</v>
      </c>
      <c r="D402" s="24" t="s">
        <v>20</v>
      </c>
      <c r="E402" s="24" t="s">
        <v>24</v>
      </c>
      <c r="F402" s="18">
        <v>39.0503</v>
      </c>
      <c r="G402" s="19">
        <v>53.6008</v>
      </c>
      <c r="H402" s="20">
        <v>45.671900000000001</v>
      </c>
      <c r="I402" s="21">
        <v>2028.7261000000001</v>
      </c>
      <c r="J402" s="20">
        <v>2727.4971999999998</v>
      </c>
      <c r="K402" s="20">
        <v>2409.5587999999998</v>
      </c>
    </row>
    <row r="403" spans="1:11" ht="15" customHeight="1" x14ac:dyDescent="0.2">
      <c r="A403" s="22" t="s">
        <v>335</v>
      </c>
      <c r="B403" s="23" t="s">
        <v>8</v>
      </c>
      <c r="C403" s="23" t="s">
        <v>9</v>
      </c>
      <c r="D403" s="24" t="s">
        <v>30</v>
      </c>
      <c r="E403" s="24" t="s">
        <v>24</v>
      </c>
      <c r="F403" s="18">
        <v>18.061</v>
      </c>
      <c r="G403" s="19">
        <v>20.3689</v>
      </c>
      <c r="H403" s="20">
        <v>25.3782</v>
      </c>
      <c r="I403" s="21">
        <v>997.27200000000005</v>
      </c>
      <c r="J403" s="20">
        <v>1129.9784999999999</v>
      </c>
      <c r="K403" s="20">
        <v>1401.0871999999999</v>
      </c>
    </row>
    <row r="404" spans="1:11" ht="15" customHeight="1" x14ac:dyDescent="0.2">
      <c r="A404" s="22" t="s">
        <v>336</v>
      </c>
      <c r="B404" s="23" t="s">
        <v>8</v>
      </c>
      <c r="C404" s="23" t="s">
        <v>9</v>
      </c>
      <c r="D404" s="24" t="s">
        <v>20</v>
      </c>
      <c r="E404" s="24" t="s">
        <v>24</v>
      </c>
      <c r="F404" s="18">
        <v>60.256900000000002</v>
      </c>
      <c r="G404" s="19">
        <v>59.171300000000002</v>
      </c>
      <c r="H404" s="20">
        <v>46.391500000000001</v>
      </c>
      <c r="I404" s="21">
        <v>3003.9076</v>
      </c>
      <c r="J404" s="20">
        <v>2862.6754999999998</v>
      </c>
      <c r="K404" s="20">
        <v>2309.9086000000002</v>
      </c>
    </row>
    <row r="405" spans="1:11" ht="15" customHeight="1" x14ac:dyDescent="0.2">
      <c r="A405" s="22" t="s">
        <v>337</v>
      </c>
      <c r="B405" s="23" t="s">
        <v>8</v>
      </c>
      <c r="C405" s="23" t="s">
        <v>9</v>
      </c>
      <c r="D405" s="24" t="s">
        <v>20</v>
      </c>
      <c r="E405" s="24" t="s">
        <v>24</v>
      </c>
      <c r="F405" s="18">
        <v>20.0168</v>
      </c>
      <c r="G405" s="19">
        <v>19.4117</v>
      </c>
      <c r="H405" s="20">
        <v>16.676400000000001</v>
      </c>
      <c r="I405" s="21">
        <v>1086.6414</v>
      </c>
      <c r="J405" s="20">
        <v>1089.1328000000001</v>
      </c>
      <c r="K405" s="20">
        <v>913.75469999999996</v>
      </c>
    </row>
    <row r="406" spans="1:11" ht="15" customHeight="1" x14ac:dyDescent="0.2">
      <c r="A406" s="22" t="s">
        <v>338</v>
      </c>
      <c r="B406" s="23" t="s">
        <v>8</v>
      </c>
      <c r="C406" s="23" t="s">
        <v>9</v>
      </c>
      <c r="D406" s="24" t="s">
        <v>20</v>
      </c>
      <c r="E406" s="24" t="s">
        <v>24</v>
      </c>
      <c r="F406" s="18">
        <v>15.4658</v>
      </c>
      <c r="G406" s="19">
        <v>23.898299999999999</v>
      </c>
      <c r="H406" s="20">
        <v>20.8841</v>
      </c>
      <c r="I406" s="21">
        <v>835.59469999999999</v>
      </c>
      <c r="J406" s="20">
        <v>1304.8905999999999</v>
      </c>
      <c r="K406" s="20">
        <v>1122.8086000000001</v>
      </c>
    </row>
    <row r="407" spans="1:11" ht="15" customHeight="1" x14ac:dyDescent="0.2">
      <c r="A407" s="22" t="s">
        <v>339</v>
      </c>
      <c r="B407" s="23" t="s">
        <v>8</v>
      </c>
      <c r="C407" s="23" t="s">
        <v>9</v>
      </c>
      <c r="D407" s="24" t="s">
        <v>10</v>
      </c>
      <c r="E407" s="24" t="s">
        <v>24</v>
      </c>
      <c r="F407" s="18">
        <v>17.192699999999999</v>
      </c>
      <c r="G407" s="19">
        <v>14.837400000000001</v>
      </c>
      <c r="H407" s="20">
        <v>10.0755</v>
      </c>
      <c r="I407" s="21">
        <v>845.18690000000004</v>
      </c>
      <c r="J407" s="20">
        <v>818.97209999999995</v>
      </c>
      <c r="K407" s="20">
        <v>554.23329999999999</v>
      </c>
    </row>
    <row r="408" spans="1:11" ht="15" customHeight="1" x14ac:dyDescent="0.2">
      <c r="A408" s="22" t="s">
        <v>340</v>
      </c>
      <c r="B408" s="23" t="s">
        <v>8</v>
      </c>
      <c r="C408" s="23" t="s">
        <v>9</v>
      </c>
      <c r="D408" s="24" t="s">
        <v>30</v>
      </c>
      <c r="E408" s="24" t="s">
        <v>24</v>
      </c>
      <c r="F408" s="18">
        <v>12.4558</v>
      </c>
      <c r="G408" s="19">
        <v>19.5045</v>
      </c>
      <c r="H408" s="20">
        <v>19.680399999999999</v>
      </c>
      <c r="I408" s="21">
        <v>695.70420000000001</v>
      </c>
      <c r="J408" s="20">
        <v>1080.8305</v>
      </c>
      <c r="K408" s="20">
        <v>1068.2409</v>
      </c>
    </row>
    <row r="409" spans="1:11" ht="15" customHeight="1" x14ac:dyDescent="0.2">
      <c r="A409" s="22" t="s">
        <v>341</v>
      </c>
      <c r="B409" s="23" t="s">
        <v>8</v>
      </c>
      <c r="C409" s="23" t="s">
        <v>9</v>
      </c>
      <c r="D409" s="24" t="s">
        <v>30</v>
      </c>
      <c r="E409" s="24" t="s">
        <v>24</v>
      </c>
      <c r="F409" s="18">
        <v>29.7578</v>
      </c>
      <c r="G409" s="19">
        <v>42.059199999999997</v>
      </c>
      <c r="H409" s="20">
        <v>37.9373</v>
      </c>
      <c r="I409" s="21">
        <v>1513.1635000000001</v>
      </c>
      <c r="J409" s="20">
        <v>2139.8314999999998</v>
      </c>
      <c r="K409" s="20">
        <v>1997.7666999999999</v>
      </c>
    </row>
    <row r="410" spans="1:11" ht="15" customHeight="1" x14ac:dyDescent="0.2">
      <c r="A410" s="22" t="s">
        <v>342</v>
      </c>
      <c r="B410" s="23" t="s">
        <v>8</v>
      </c>
      <c r="C410" s="23" t="s">
        <v>9</v>
      </c>
      <c r="D410" s="24" t="s">
        <v>20</v>
      </c>
      <c r="E410" s="24" t="s">
        <v>11</v>
      </c>
      <c r="F410" s="18">
        <v>12.4033</v>
      </c>
      <c r="G410" s="19">
        <v>7.0781999999999998</v>
      </c>
      <c r="H410" s="20">
        <v>1.7199</v>
      </c>
      <c r="I410" s="21">
        <v>294.48759999999999</v>
      </c>
      <c r="J410" s="20">
        <v>150.97989999999999</v>
      </c>
      <c r="K410" s="20">
        <v>36.068199999999997</v>
      </c>
    </row>
    <row r="411" spans="1:11" ht="15" customHeight="1" x14ac:dyDescent="0.2">
      <c r="A411" s="22" t="s">
        <v>343</v>
      </c>
      <c r="B411" s="23" t="s">
        <v>8</v>
      </c>
      <c r="C411" s="23" t="s">
        <v>9</v>
      </c>
      <c r="D411" s="24" t="s">
        <v>30</v>
      </c>
      <c r="E411" s="24" t="s">
        <v>32</v>
      </c>
      <c r="F411" s="18">
        <v>1.6268</v>
      </c>
      <c r="G411" s="19"/>
      <c r="H411" s="20"/>
      <c r="I411" s="21">
        <v>65.1297</v>
      </c>
      <c r="J411" s="20"/>
      <c r="K411" s="20"/>
    </row>
    <row r="412" spans="1:11" ht="15" customHeight="1" x14ac:dyDescent="0.2">
      <c r="A412" s="22" t="s">
        <v>344</v>
      </c>
      <c r="B412" s="23" t="s">
        <v>8</v>
      </c>
      <c r="C412" s="23" t="s">
        <v>9</v>
      </c>
      <c r="D412" s="24" t="s">
        <v>30</v>
      </c>
      <c r="E412" s="24" t="s">
        <v>32</v>
      </c>
      <c r="F412" s="18">
        <v>2.5358999999999998</v>
      </c>
      <c r="G412" s="19"/>
      <c r="H412" s="20"/>
      <c r="I412" s="21">
        <v>101.7274</v>
      </c>
      <c r="J412" s="20"/>
      <c r="K412" s="20"/>
    </row>
    <row r="413" spans="1:11" ht="15" customHeight="1" x14ac:dyDescent="0.2">
      <c r="A413" s="22" t="s">
        <v>345</v>
      </c>
      <c r="B413" s="23" t="s">
        <v>8</v>
      </c>
      <c r="C413" s="23" t="s">
        <v>9</v>
      </c>
      <c r="D413" s="24" t="s">
        <v>10</v>
      </c>
      <c r="E413" s="24" t="s">
        <v>99</v>
      </c>
      <c r="F413" s="18"/>
      <c r="G413" s="19"/>
      <c r="H413" s="20">
        <v>3.6318999999999999</v>
      </c>
      <c r="I413" s="21"/>
      <c r="J413" s="20"/>
      <c r="K413" s="20">
        <v>71.160700000000006</v>
      </c>
    </row>
    <row r="414" spans="1:11" ht="15" customHeight="1" x14ac:dyDescent="0.2">
      <c r="A414" s="22" t="s">
        <v>346</v>
      </c>
      <c r="B414" s="23" t="s">
        <v>8</v>
      </c>
      <c r="C414" s="23" t="s">
        <v>9</v>
      </c>
      <c r="D414" s="24" t="s">
        <v>10</v>
      </c>
      <c r="E414" s="24" t="s">
        <v>42</v>
      </c>
      <c r="F414" s="18">
        <v>17.9986</v>
      </c>
      <c r="G414" s="19">
        <v>13.0489</v>
      </c>
      <c r="H414" s="20">
        <v>10.643000000000001</v>
      </c>
      <c r="I414" s="21">
        <v>650.62580000000003</v>
      </c>
      <c r="J414" s="20">
        <v>424.79559999999998</v>
      </c>
      <c r="K414" s="20">
        <v>323.3997</v>
      </c>
    </row>
    <row r="415" spans="1:11" ht="15" customHeight="1" x14ac:dyDescent="0.2">
      <c r="A415" s="22" t="s">
        <v>347</v>
      </c>
      <c r="B415" s="23" t="s">
        <v>8</v>
      </c>
      <c r="C415" s="23" t="s">
        <v>9</v>
      </c>
      <c r="D415" s="24" t="s">
        <v>64</v>
      </c>
      <c r="E415" s="24" t="s">
        <v>42</v>
      </c>
      <c r="F415" s="18">
        <v>18.099399999999999</v>
      </c>
      <c r="G415" s="19">
        <v>12.3561</v>
      </c>
      <c r="H415" s="20">
        <v>12.3432</v>
      </c>
      <c r="I415" s="21">
        <v>1018.4675999999999</v>
      </c>
      <c r="J415" s="20">
        <v>683.55870000000004</v>
      </c>
      <c r="K415" s="20">
        <v>606.59050000000002</v>
      </c>
    </row>
    <row r="416" spans="1:11" ht="15" customHeight="1" x14ac:dyDescent="0.2">
      <c r="A416" s="22" t="s">
        <v>348</v>
      </c>
      <c r="B416" s="23" t="s">
        <v>8</v>
      </c>
      <c r="C416" s="23" t="s">
        <v>9</v>
      </c>
      <c r="D416" s="24" t="s">
        <v>10</v>
      </c>
      <c r="E416" s="24" t="s">
        <v>42</v>
      </c>
      <c r="F416" s="18">
        <v>13.9643</v>
      </c>
      <c r="G416" s="19">
        <v>11.9328</v>
      </c>
      <c r="H416" s="20">
        <v>7.4202000000000004</v>
      </c>
      <c r="I416" s="21">
        <v>510.25119999999998</v>
      </c>
      <c r="J416" s="20">
        <v>382.31479999999999</v>
      </c>
      <c r="K416" s="20">
        <v>215.15559999999999</v>
      </c>
    </row>
    <row r="417" spans="1:11" ht="15" customHeight="1" x14ac:dyDescent="0.2">
      <c r="A417" s="22" t="s">
        <v>349</v>
      </c>
      <c r="B417" s="23" t="s">
        <v>8</v>
      </c>
      <c r="C417" s="23" t="s">
        <v>9</v>
      </c>
      <c r="D417" s="24" t="s">
        <v>20</v>
      </c>
      <c r="E417" s="24" t="s">
        <v>42</v>
      </c>
      <c r="F417" s="18"/>
      <c r="G417" s="19">
        <v>0.56559999999999999</v>
      </c>
      <c r="H417" s="20">
        <v>0.19719999999999999</v>
      </c>
      <c r="I417" s="21"/>
      <c r="J417" s="20">
        <v>6.4855</v>
      </c>
      <c r="K417" s="20">
        <v>8.6998999999999995</v>
      </c>
    </row>
    <row r="418" spans="1:11" ht="15" customHeight="1" x14ac:dyDescent="0.2">
      <c r="A418" s="22" t="s">
        <v>350</v>
      </c>
      <c r="B418" s="23" t="s">
        <v>8</v>
      </c>
      <c r="C418" s="23" t="s">
        <v>9</v>
      </c>
      <c r="D418" s="24" t="s">
        <v>20</v>
      </c>
      <c r="E418" s="24" t="s">
        <v>42</v>
      </c>
      <c r="F418" s="18">
        <v>11.936500000000001</v>
      </c>
      <c r="G418" s="19">
        <v>11.3424</v>
      </c>
      <c r="H418" s="20">
        <v>2.8279999999999998</v>
      </c>
      <c r="I418" s="21">
        <v>494.98500000000001</v>
      </c>
      <c r="J418" s="20">
        <v>456.52679999999998</v>
      </c>
      <c r="K418" s="20">
        <v>127.90179999999999</v>
      </c>
    </row>
    <row r="419" spans="1:11" ht="15" customHeight="1" x14ac:dyDescent="0.2">
      <c r="A419" s="22" t="s">
        <v>351</v>
      </c>
      <c r="B419" s="23" t="s">
        <v>8</v>
      </c>
      <c r="C419" s="23" t="s">
        <v>9</v>
      </c>
      <c r="D419" s="24" t="s">
        <v>30</v>
      </c>
      <c r="E419" s="24" t="s">
        <v>42</v>
      </c>
      <c r="F419" s="18">
        <v>16.799600000000002</v>
      </c>
      <c r="G419" s="19">
        <v>11.79</v>
      </c>
      <c r="H419" s="20">
        <v>3.1292</v>
      </c>
      <c r="I419" s="21">
        <v>633.09360000000004</v>
      </c>
      <c r="J419" s="20">
        <v>491.60489999999999</v>
      </c>
      <c r="K419" s="20">
        <v>123.1259</v>
      </c>
    </row>
    <row r="420" spans="1:11" ht="15" customHeight="1" x14ac:dyDescent="0.2">
      <c r="A420" s="22" t="s">
        <v>352</v>
      </c>
      <c r="B420" s="23" t="s">
        <v>8</v>
      </c>
      <c r="C420" s="23" t="s">
        <v>9</v>
      </c>
      <c r="D420" s="24" t="s">
        <v>20</v>
      </c>
      <c r="E420" s="24" t="s">
        <v>42</v>
      </c>
      <c r="F420" s="18">
        <v>15.0557</v>
      </c>
      <c r="G420" s="19">
        <v>9.7439</v>
      </c>
      <c r="H420" s="20">
        <v>7.3936000000000002</v>
      </c>
      <c r="I420" s="21">
        <v>945.80409999999995</v>
      </c>
      <c r="J420" s="20">
        <v>583.28309999999999</v>
      </c>
      <c r="K420" s="20">
        <v>424.78879999999998</v>
      </c>
    </row>
    <row r="421" spans="1:11" ht="15" customHeight="1" x14ac:dyDescent="0.2">
      <c r="A421" s="22" t="s">
        <v>353</v>
      </c>
      <c r="B421" s="23" t="s">
        <v>8</v>
      </c>
      <c r="C421" s="23" t="s">
        <v>9</v>
      </c>
      <c r="D421" s="24" t="s">
        <v>20</v>
      </c>
      <c r="E421" s="24" t="s">
        <v>42</v>
      </c>
      <c r="F421" s="18">
        <v>2.5228000000000002</v>
      </c>
      <c r="G421" s="19"/>
      <c r="H421" s="20"/>
      <c r="I421" s="21">
        <v>102.04300000000001</v>
      </c>
      <c r="J421" s="20"/>
      <c r="K421" s="20"/>
    </row>
    <row r="422" spans="1:11" ht="15" customHeight="1" x14ac:dyDescent="0.2">
      <c r="A422" s="22" t="s">
        <v>354</v>
      </c>
      <c r="B422" s="23" t="s">
        <v>8</v>
      </c>
      <c r="C422" s="23" t="s">
        <v>9</v>
      </c>
      <c r="D422" s="24" t="s">
        <v>30</v>
      </c>
      <c r="E422" s="24" t="s">
        <v>17</v>
      </c>
      <c r="F422" s="18">
        <v>5.8501000000000003</v>
      </c>
      <c r="G422" s="19">
        <v>3.1604999999999999</v>
      </c>
      <c r="H422" s="20">
        <v>1.1102000000000001</v>
      </c>
      <c r="I422" s="21">
        <v>279.7971</v>
      </c>
      <c r="J422" s="20">
        <v>133.69110000000001</v>
      </c>
      <c r="K422" s="20">
        <v>49.716799999999999</v>
      </c>
    </row>
    <row r="423" spans="1:11" ht="15" customHeight="1" x14ac:dyDescent="0.2">
      <c r="A423" s="22" t="s">
        <v>355</v>
      </c>
      <c r="B423" s="23" t="s">
        <v>8</v>
      </c>
      <c r="C423" s="23" t="s">
        <v>9</v>
      </c>
      <c r="D423" s="24" t="s">
        <v>10</v>
      </c>
      <c r="E423" s="24" t="s">
        <v>17</v>
      </c>
      <c r="F423" s="18">
        <v>3.5649999999999999</v>
      </c>
      <c r="G423" s="19">
        <v>3.9624000000000001</v>
      </c>
      <c r="H423" s="20">
        <v>3.0468999999999999</v>
      </c>
      <c r="I423" s="21">
        <v>186.07509999999999</v>
      </c>
      <c r="J423" s="20">
        <v>188.92570000000001</v>
      </c>
      <c r="K423" s="20">
        <v>146.31370000000001</v>
      </c>
    </row>
    <row r="424" spans="1:11" ht="15" customHeight="1" x14ac:dyDescent="0.2">
      <c r="A424" s="22" t="s">
        <v>356</v>
      </c>
      <c r="B424" s="23" t="s">
        <v>8</v>
      </c>
      <c r="C424" s="23" t="s">
        <v>9</v>
      </c>
      <c r="D424" s="24" t="s">
        <v>30</v>
      </c>
      <c r="E424" s="24" t="s">
        <v>17</v>
      </c>
      <c r="F424" s="18">
        <v>4.5880999999999998</v>
      </c>
      <c r="G424" s="19">
        <v>5.0932000000000004</v>
      </c>
      <c r="H424" s="20">
        <v>5.0259</v>
      </c>
      <c r="I424" s="21">
        <v>237.0685</v>
      </c>
      <c r="J424" s="20">
        <v>259.80410000000001</v>
      </c>
      <c r="K424" s="20">
        <v>248.8639</v>
      </c>
    </row>
    <row r="425" spans="1:11" ht="15" customHeight="1" x14ac:dyDescent="0.2">
      <c r="A425" s="22" t="s">
        <v>357</v>
      </c>
      <c r="B425" s="23" t="s">
        <v>8</v>
      </c>
      <c r="C425" s="23" t="s">
        <v>9</v>
      </c>
      <c r="D425" s="24" t="s">
        <v>10</v>
      </c>
      <c r="E425" s="24" t="s">
        <v>358</v>
      </c>
      <c r="F425" s="18"/>
      <c r="G425" s="19">
        <v>7.0000000000000001E-3</v>
      </c>
      <c r="H425" s="20"/>
      <c r="I425" s="21"/>
      <c r="J425" s="20">
        <v>0.32779999999999998</v>
      </c>
      <c r="K425" s="20"/>
    </row>
    <row r="426" spans="1:11" ht="15" customHeight="1" x14ac:dyDescent="0.2">
      <c r="A426" s="14" t="s">
        <v>359</v>
      </c>
      <c r="B426" s="15" t="s">
        <v>6</v>
      </c>
      <c r="C426" s="16"/>
      <c r="D426" s="17"/>
      <c r="E426" s="17"/>
      <c r="F426" s="18">
        <v>3.0200000000000001E-2</v>
      </c>
      <c r="G426" s="19">
        <v>2.0104000000000002</v>
      </c>
      <c r="H426" s="20">
        <v>1.0045999999999999</v>
      </c>
      <c r="I426" s="21">
        <v>1.4571000000000001</v>
      </c>
      <c r="J426" s="20">
        <v>118.0438</v>
      </c>
      <c r="K426" s="20">
        <v>56.873399999999997</v>
      </c>
    </row>
    <row r="427" spans="1:11" ht="15" customHeight="1" x14ac:dyDescent="0.2">
      <c r="A427" s="22" t="s">
        <v>360</v>
      </c>
      <c r="B427" s="23" t="s">
        <v>8</v>
      </c>
      <c r="C427" s="23" t="s">
        <v>9</v>
      </c>
      <c r="D427" s="24" t="s">
        <v>20</v>
      </c>
      <c r="E427" s="24" t="s">
        <v>24</v>
      </c>
      <c r="F427" s="18">
        <v>3.0200000000000001E-2</v>
      </c>
      <c r="G427" s="19">
        <v>2.0104000000000002</v>
      </c>
      <c r="H427" s="20">
        <v>1.0045999999999999</v>
      </c>
      <c r="I427" s="21">
        <v>1.4571000000000001</v>
      </c>
      <c r="J427" s="20">
        <v>118.0438</v>
      </c>
      <c r="K427" s="20">
        <v>56.873399999999997</v>
      </c>
    </row>
    <row r="428" spans="1:11" ht="15" customHeight="1" x14ac:dyDescent="0.2">
      <c r="A428" s="14" t="s">
        <v>361</v>
      </c>
      <c r="B428" s="15" t="s">
        <v>6</v>
      </c>
      <c r="C428" s="16"/>
      <c r="D428" s="17"/>
      <c r="E428" s="17"/>
      <c r="F428" s="18">
        <v>0.1913</v>
      </c>
      <c r="G428" s="19">
        <v>0.55200000000000005</v>
      </c>
      <c r="H428" s="20">
        <v>4.3700000000000003E-2</v>
      </c>
      <c r="I428" s="21">
        <v>6.9211999999999998</v>
      </c>
      <c r="J428" s="20">
        <v>19.9695</v>
      </c>
      <c r="K428" s="20">
        <v>1.2094</v>
      </c>
    </row>
    <row r="429" spans="1:11" ht="15" customHeight="1" x14ac:dyDescent="0.2">
      <c r="A429" s="22" t="s">
        <v>362</v>
      </c>
      <c r="B429" s="23" t="s">
        <v>8</v>
      </c>
      <c r="C429" s="23" t="s">
        <v>9</v>
      </c>
      <c r="D429" s="24" t="s">
        <v>10</v>
      </c>
      <c r="E429" s="24" t="s">
        <v>42</v>
      </c>
      <c r="F429" s="18">
        <v>0.1913</v>
      </c>
      <c r="G429" s="19">
        <v>0.55200000000000005</v>
      </c>
      <c r="H429" s="20">
        <v>4.3700000000000003E-2</v>
      </c>
      <c r="I429" s="21">
        <v>6.9211999999999998</v>
      </c>
      <c r="J429" s="20">
        <v>19.9695</v>
      </c>
      <c r="K429" s="20">
        <v>1.2094</v>
      </c>
    </row>
    <row r="430" spans="1:11" ht="14.25" customHeight="1" x14ac:dyDescent="0.2">
      <c r="A430" s="25" t="s">
        <v>768</v>
      </c>
      <c r="B430" s="4" t="s">
        <v>5</v>
      </c>
      <c r="C430" s="4"/>
      <c r="D430" s="5"/>
      <c r="E430" s="5"/>
      <c r="F430" s="10">
        <v>0.17230000000000001</v>
      </c>
      <c r="G430" s="11">
        <v>0.63319999999999999</v>
      </c>
      <c r="H430" s="12">
        <v>0.15670000000000001</v>
      </c>
      <c r="I430" s="13">
        <v>7.7868000000000004</v>
      </c>
      <c r="J430" s="12">
        <v>27.705500000000001</v>
      </c>
      <c r="K430" s="12">
        <v>6.8449999999999998</v>
      </c>
    </row>
    <row r="431" spans="1:11" ht="15" customHeight="1" x14ac:dyDescent="0.2">
      <c r="A431" s="14" t="s">
        <v>364</v>
      </c>
      <c r="B431" s="15" t="s">
        <v>6</v>
      </c>
      <c r="C431" s="16"/>
      <c r="D431" s="17"/>
      <c r="E431" s="17"/>
      <c r="F431" s="18">
        <v>0.17230000000000001</v>
      </c>
      <c r="G431" s="19">
        <v>0.63319999999999999</v>
      </c>
      <c r="H431" s="20">
        <v>0.15670000000000001</v>
      </c>
      <c r="I431" s="21">
        <v>7.7868000000000004</v>
      </c>
      <c r="J431" s="20">
        <v>27.705500000000001</v>
      </c>
      <c r="K431" s="20">
        <v>6.8449999999999998</v>
      </c>
    </row>
    <row r="432" spans="1:11" ht="15" customHeight="1" x14ac:dyDescent="0.2">
      <c r="A432" s="22" t="s">
        <v>365</v>
      </c>
      <c r="B432" s="23" t="s">
        <v>8</v>
      </c>
      <c r="C432" s="23" t="s">
        <v>9</v>
      </c>
      <c r="D432" s="24" t="s">
        <v>20</v>
      </c>
      <c r="E432" s="24" t="s">
        <v>32</v>
      </c>
      <c r="F432" s="18">
        <v>2.6700000000000002E-2</v>
      </c>
      <c r="G432" s="19">
        <v>6.6E-3</v>
      </c>
      <c r="H432" s="20"/>
      <c r="I432" s="21">
        <v>1.3361000000000001</v>
      </c>
      <c r="J432" s="20">
        <v>0.32919999999999999</v>
      </c>
      <c r="K432" s="20"/>
    </row>
    <row r="433" spans="1:11" ht="15" customHeight="1" x14ac:dyDescent="0.2">
      <c r="A433" s="22" t="s">
        <v>366</v>
      </c>
      <c r="B433" s="23" t="s">
        <v>8</v>
      </c>
      <c r="C433" s="23" t="s">
        <v>9</v>
      </c>
      <c r="D433" s="24" t="s">
        <v>64</v>
      </c>
      <c r="E433" s="24" t="s">
        <v>68</v>
      </c>
      <c r="F433" s="18">
        <v>6.93E-2</v>
      </c>
      <c r="G433" s="19">
        <v>0.19889999999999999</v>
      </c>
      <c r="H433" s="20"/>
      <c r="I433" s="21">
        <v>3.0247000000000002</v>
      </c>
      <c r="J433" s="20">
        <v>8.6912000000000003</v>
      </c>
      <c r="K433" s="20"/>
    </row>
    <row r="434" spans="1:11" ht="15" customHeight="1" x14ac:dyDescent="0.2">
      <c r="A434" s="22" t="s">
        <v>367</v>
      </c>
      <c r="B434" s="23" t="s">
        <v>8</v>
      </c>
      <c r="C434" s="23" t="s">
        <v>9</v>
      </c>
      <c r="D434" s="24" t="s">
        <v>64</v>
      </c>
      <c r="E434" s="24" t="s">
        <v>68</v>
      </c>
      <c r="F434" s="18">
        <v>7.6300000000000007E-2</v>
      </c>
      <c r="G434" s="19">
        <v>0.42759999999999998</v>
      </c>
      <c r="H434" s="20">
        <v>0.15670000000000001</v>
      </c>
      <c r="I434" s="21">
        <v>3.4260000000000002</v>
      </c>
      <c r="J434" s="20">
        <v>18.685099999999998</v>
      </c>
      <c r="K434" s="20">
        <v>6.8449999999999998</v>
      </c>
    </row>
    <row r="435" spans="1:11" ht="14.25" customHeight="1" x14ac:dyDescent="0.2">
      <c r="A435" s="25" t="s">
        <v>769</v>
      </c>
      <c r="B435" s="4" t="s">
        <v>5</v>
      </c>
      <c r="C435" s="4"/>
      <c r="D435" s="5"/>
      <c r="E435" s="5"/>
      <c r="F435" s="10">
        <v>23.7455</v>
      </c>
      <c r="G435" s="11">
        <v>29.3566</v>
      </c>
      <c r="H435" s="12">
        <v>11.906700000000001</v>
      </c>
      <c r="I435" s="13">
        <v>713.0412</v>
      </c>
      <c r="J435" s="12">
        <v>960.05740000000003</v>
      </c>
      <c r="K435" s="12">
        <v>372.1223</v>
      </c>
    </row>
    <row r="436" spans="1:11" ht="15" customHeight="1" x14ac:dyDescent="0.2">
      <c r="A436" s="14" t="s">
        <v>368</v>
      </c>
      <c r="B436" s="15" t="s">
        <v>6</v>
      </c>
      <c r="C436" s="16"/>
      <c r="D436" s="17"/>
      <c r="E436" s="17"/>
      <c r="F436" s="18">
        <v>23.7455</v>
      </c>
      <c r="G436" s="19">
        <v>29.3566</v>
      </c>
      <c r="H436" s="20">
        <v>11.906700000000001</v>
      </c>
      <c r="I436" s="21">
        <v>713.0412</v>
      </c>
      <c r="J436" s="20">
        <v>960.05740000000003</v>
      </c>
      <c r="K436" s="20">
        <v>372.1223</v>
      </c>
    </row>
    <row r="437" spans="1:11" ht="15" customHeight="1" x14ac:dyDescent="0.2">
      <c r="A437" s="22" t="s">
        <v>369</v>
      </c>
      <c r="B437" s="23" t="s">
        <v>8</v>
      </c>
      <c r="C437" s="23" t="s">
        <v>9</v>
      </c>
      <c r="D437" s="24" t="s">
        <v>10</v>
      </c>
      <c r="E437" s="24" t="s">
        <v>37</v>
      </c>
      <c r="F437" s="18">
        <v>13.539</v>
      </c>
      <c r="G437" s="19">
        <v>14.939299999999999</v>
      </c>
      <c r="H437" s="20">
        <v>5.9192</v>
      </c>
      <c r="I437" s="21">
        <v>399.25150000000002</v>
      </c>
      <c r="J437" s="20">
        <v>471.38619999999997</v>
      </c>
      <c r="K437" s="20">
        <v>172.6644</v>
      </c>
    </row>
    <row r="438" spans="1:11" ht="15" customHeight="1" x14ac:dyDescent="0.2">
      <c r="A438" s="22" t="s">
        <v>370</v>
      </c>
      <c r="B438" s="23" t="s">
        <v>8</v>
      </c>
      <c r="C438" s="23" t="s">
        <v>9</v>
      </c>
      <c r="D438" s="24" t="s">
        <v>10</v>
      </c>
      <c r="E438" s="24" t="s">
        <v>37</v>
      </c>
      <c r="F438" s="18">
        <v>9.7232000000000003</v>
      </c>
      <c r="G438" s="19">
        <v>14.417199999999999</v>
      </c>
      <c r="H438" s="20">
        <v>5.9874999999999998</v>
      </c>
      <c r="I438" s="21">
        <v>300.88780000000003</v>
      </c>
      <c r="J438" s="20">
        <v>488.67129999999997</v>
      </c>
      <c r="K438" s="20">
        <v>199.4579</v>
      </c>
    </row>
    <row r="439" spans="1:11" ht="15" customHeight="1" x14ac:dyDescent="0.2">
      <c r="A439" s="22" t="s">
        <v>371</v>
      </c>
      <c r="B439" s="23" t="s">
        <v>8</v>
      </c>
      <c r="C439" s="23" t="s">
        <v>9</v>
      </c>
      <c r="D439" s="24" t="s">
        <v>20</v>
      </c>
      <c r="E439" s="24" t="s">
        <v>42</v>
      </c>
      <c r="F439" s="18">
        <v>0.4834</v>
      </c>
      <c r="G439" s="19"/>
      <c r="H439" s="20"/>
      <c r="I439" s="21">
        <v>12.901899999999999</v>
      </c>
      <c r="J439" s="20"/>
      <c r="K439" s="20"/>
    </row>
    <row r="440" spans="1:11" ht="14.25" customHeight="1" x14ac:dyDescent="0.2">
      <c r="A440" s="25" t="s">
        <v>770</v>
      </c>
      <c r="B440" s="4" t="s">
        <v>5</v>
      </c>
      <c r="C440" s="4"/>
      <c r="D440" s="5"/>
      <c r="E440" s="5"/>
      <c r="F440" s="10">
        <v>0.13550000000000001</v>
      </c>
      <c r="G440" s="11"/>
      <c r="H440" s="12"/>
      <c r="I440" s="13">
        <v>3.2519</v>
      </c>
      <c r="J440" s="12"/>
      <c r="K440" s="12"/>
    </row>
    <row r="441" spans="1:11" ht="15" customHeight="1" x14ac:dyDescent="0.2">
      <c r="A441" s="14" t="s">
        <v>372</v>
      </c>
      <c r="B441" s="15" t="s">
        <v>6</v>
      </c>
      <c r="C441" s="16"/>
      <c r="D441" s="17"/>
      <c r="E441" s="17"/>
      <c r="F441" s="18">
        <v>0.13550000000000001</v>
      </c>
      <c r="G441" s="19"/>
      <c r="H441" s="20"/>
      <c r="I441" s="21">
        <v>3.2519</v>
      </c>
      <c r="J441" s="20"/>
      <c r="K441" s="20"/>
    </row>
    <row r="442" spans="1:11" ht="15" customHeight="1" x14ac:dyDescent="0.2">
      <c r="A442" s="22" t="s">
        <v>373</v>
      </c>
      <c r="B442" s="23" t="s">
        <v>8</v>
      </c>
      <c r="C442" s="23" t="s">
        <v>9</v>
      </c>
      <c r="D442" s="24" t="s">
        <v>64</v>
      </c>
      <c r="E442" s="24" t="s">
        <v>99</v>
      </c>
      <c r="F442" s="18">
        <v>0.13550000000000001</v>
      </c>
      <c r="G442" s="19"/>
      <c r="H442" s="20"/>
      <c r="I442" s="21">
        <v>3.2519</v>
      </c>
      <c r="J442" s="20"/>
      <c r="K442" s="20"/>
    </row>
    <row r="443" spans="1:11" ht="14.25" customHeight="1" x14ac:dyDescent="0.2">
      <c r="A443" s="25" t="s">
        <v>771</v>
      </c>
      <c r="B443" s="4" t="s">
        <v>5</v>
      </c>
      <c r="C443" s="4"/>
      <c r="D443" s="5"/>
      <c r="E443" s="5"/>
      <c r="F443" s="10">
        <v>336.51549999999997</v>
      </c>
      <c r="G443" s="11">
        <v>318.62270000000001</v>
      </c>
      <c r="H443" s="12">
        <v>125.7655</v>
      </c>
      <c r="I443" s="13">
        <v>10227.0057</v>
      </c>
      <c r="J443" s="12">
        <v>9928.9132000000009</v>
      </c>
      <c r="K443" s="12">
        <v>3640.5189</v>
      </c>
    </row>
    <row r="444" spans="1:11" ht="15" customHeight="1" x14ac:dyDescent="0.2">
      <c r="A444" s="14" t="s">
        <v>374</v>
      </c>
      <c r="B444" s="15" t="s">
        <v>6</v>
      </c>
      <c r="C444" s="16"/>
      <c r="D444" s="17"/>
      <c r="E444" s="17"/>
      <c r="F444" s="18">
        <v>277.92669999999998</v>
      </c>
      <c r="G444" s="19">
        <v>310.41480000000001</v>
      </c>
      <c r="H444" s="20">
        <v>125.3454</v>
      </c>
      <c r="I444" s="21">
        <v>8929.9617999999991</v>
      </c>
      <c r="J444" s="20">
        <v>9775.1643000000004</v>
      </c>
      <c r="K444" s="20">
        <v>3632.8901999999998</v>
      </c>
    </row>
    <row r="445" spans="1:11" ht="15" customHeight="1" x14ac:dyDescent="0.2">
      <c r="A445" s="22" t="s">
        <v>375</v>
      </c>
      <c r="B445" s="23" t="s">
        <v>8</v>
      </c>
      <c r="C445" s="23" t="s">
        <v>9</v>
      </c>
      <c r="D445" s="24" t="s">
        <v>249</v>
      </c>
      <c r="E445" s="24" t="s">
        <v>376</v>
      </c>
      <c r="F445" s="18"/>
      <c r="G445" s="19">
        <v>2.3E-3</v>
      </c>
      <c r="H445" s="20"/>
      <c r="I445" s="21"/>
      <c r="J445" s="20">
        <v>4.8000000000000001E-2</v>
      </c>
      <c r="K445" s="20"/>
    </row>
    <row r="446" spans="1:11" ht="15" customHeight="1" x14ac:dyDescent="0.2">
      <c r="A446" s="22" t="s">
        <v>377</v>
      </c>
      <c r="B446" s="23" t="s">
        <v>8</v>
      </c>
      <c r="C446" s="23" t="s">
        <v>9</v>
      </c>
      <c r="D446" s="24" t="s">
        <v>249</v>
      </c>
      <c r="E446" s="24" t="s">
        <v>376</v>
      </c>
      <c r="F446" s="18">
        <v>3.7978999999999998</v>
      </c>
      <c r="G446" s="19">
        <v>0.23119999999999999</v>
      </c>
      <c r="H446" s="20">
        <v>5.57E-2</v>
      </c>
      <c r="I446" s="21">
        <v>45.909399999999998</v>
      </c>
      <c r="J446" s="20">
        <v>3.0430999999999999</v>
      </c>
      <c r="K446" s="20">
        <v>0.74270000000000003</v>
      </c>
    </row>
    <row r="447" spans="1:11" ht="15" customHeight="1" x14ac:dyDescent="0.2">
      <c r="A447" s="22" t="s">
        <v>378</v>
      </c>
      <c r="B447" s="23" t="s">
        <v>8</v>
      </c>
      <c r="C447" s="23" t="s">
        <v>9</v>
      </c>
      <c r="D447" s="24" t="s">
        <v>249</v>
      </c>
      <c r="E447" s="24" t="s">
        <v>376</v>
      </c>
      <c r="F447" s="18">
        <v>10.1713</v>
      </c>
      <c r="G447" s="19">
        <v>1.4034</v>
      </c>
      <c r="H447" s="20">
        <v>0.79169999999999996</v>
      </c>
      <c r="I447" s="21">
        <v>191.46350000000001</v>
      </c>
      <c r="J447" s="20">
        <v>25.065200000000001</v>
      </c>
      <c r="K447" s="20">
        <v>12.493499999999999</v>
      </c>
    </row>
    <row r="448" spans="1:11" ht="15" customHeight="1" x14ac:dyDescent="0.2">
      <c r="A448" s="22" t="s">
        <v>379</v>
      </c>
      <c r="B448" s="23" t="s">
        <v>8</v>
      </c>
      <c r="C448" s="23" t="s">
        <v>9</v>
      </c>
      <c r="D448" s="24" t="s">
        <v>249</v>
      </c>
      <c r="E448" s="24" t="s">
        <v>11</v>
      </c>
      <c r="F448" s="18">
        <v>8.9099999999999999E-2</v>
      </c>
      <c r="G448" s="19"/>
      <c r="H448" s="20"/>
      <c r="I448" s="21">
        <v>1.4943</v>
      </c>
      <c r="J448" s="20"/>
      <c r="K448" s="20"/>
    </row>
    <row r="449" spans="1:11" ht="15" customHeight="1" x14ac:dyDescent="0.2">
      <c r="A449" s="22" t="s">
        <v>380</v>
      </c>
      <c r="B449" s="23" t="s">
        <v>8</v>
      </c>
      <c r="C449" s="23" t="s">
        <v>9</v>
      </c>
      <c r="D449" s="24" t="s">
        <v>10</v>
      </c>
      <c r="E449" s="24" t="s">
        <v>123</v>
      </c>
      <c r="F449" s="18">
        <v>16.7622</v>
      </c>
      <c r="G449" s="19">
        <v>54.880099999999999</v>
      </c>
      <c r="H449" s="20">
        <v>30.8141</v>
      </c>
      <c r="I449" s="21">
        <v>558.82709999999997</v>
      </c>
      <c r="J449" s="20">
        <v>1712.2448999999999</v>
      </c>
      <c r="K449" s="20">
        <v>842.72770000000003</v>
      </c>
    </row>
    <row r="450" spans="1:11" ht="15" customHeight="1" x14ac:dyDescent="0.2">
      <c r="A450" s="22" t="s">
        <v>381</v>
      </c>
      <c r="B450" s="23" t="s">
        <v>8</v>
      </c>
      <c r="C450" s="23" t="s">
        <v>9</v>
      </c>
      <c r="D450" s="24" t="s">
        <v>10</v>
      </c>
      <c r="E450" s="24" t="s">
        <v>123</v>
      </c>
      <c r="F450" s="18">
        <v>61.024299999999997</v>
      </c>
      <c r="G450" s="19">
        <v>69.369399999999999</v>
      </c>
      <c r="H450" s="20">
        <v>37.2607</v>
      </c>
      <c r="I450" s="21">
        <v>1986.0632000000001</v>
      </c>
      <c r="J450" s="20">
        <v>2074.7809000000002</v>
      </c>
      <c r="K450" s="20">
        <v>1026.0545999999999</v>
      </c>
    </row>
    <row r="451" spans="1:11" ht="15" customHeight="1" x14ac:dyDescent="0.2">
      <c r="A451" s="22" t="s">
        <v>382</v>
      </c>
      <c r="B451" s="23" t="s">
        <v>8</v>
      </c>
      <c r="C451" s="23" t="s">
        <v>9</v>
      </c>
      <c r="D451" s="24" t="s">
        <v>64</v>
      </c>
      <c r="E451" s="24" t="s">
        <v>123</v>
      </c>
      <c r="F451" s="18">
        <v>99.720299999999995</v>
      </c>
      <c r="G451" s="19">
        <v>82.962900000000005</v>
      </c>
      <c r="H451" s="20">
        <v>1.6460999999999999</v>
      </c>
      <c r="I451" s="21">
        <v>3124.0421999999999</v>
      </c>
      <c r="J451" s="20">
        <v>2460.6639</v>
      </c>
      <c r="K451" s="20">
        <v>45.897799999999997</v>
      </c>
    </row>
    <row r="452" spans="1:11" ht="15" customHeight="1" x14ac:dyDescent="0.2">
      <c r="A452" s="22" t="s">
        <v>383</v>
      </c>
      <c r="B452" s="23" t="s">
        <v>8</v>
      </c>
      <c r="C452" s="23" t="s">
        <v>9</v>
      </c>
      <c r="D452" s="24" t="s">
        <v>10</v>
      </c>
      <c r="E452" s="24" t="s">
        <v>42</v>
      </c>
      <c r="F452" s="18">
        <v>86.361699999999999</v>
      </c>
      <c r="G452" s="19">
        <v>101.56570000000001</v>
      </c>
      <c r="H452" s="20">
        <v>54.776899999999998</v>
      </c>
      <c r="I452" s="21">
        <v>3022.1621</v>
      </c>
      <c r="J452" s="20">
        <v>3499.3182999999999</v>
      </c>
      <c r="K452" s="20">
        <v>1704.9738</v>
      </c>
    </row>
    <row r="453" spans="1:11" ht="15" customHeight="1" x14ac:dyDescent="0.2">
      <c r="A453" s="14" t="s">
        <v>384</v>
      </c>
      <c r="B453" s="15" t="s">
        <v>6</v>
      </c>
      <c r="C453" s="16"/>
      <c r="D453" s="17"/>
      <c r="E453" s="17"/>
      <c r="F453" s="18">
        <v>58.588999999999999</v>
      </c>
      <c r="G453" s="19">
        <v>8.2077000000000009</v>
      </c>
      <c r="H453" s="20">
        <v>0.42030000000000001</v>
      </c>
      <c r="I453" s="21">
        <v>1297.0438999999999</v>
      </c>
      <c r="J453" s="20">
        <v>153.7491</v>
      </c>
      <c r="K453" s="20">
        <v>7.6287000000000003</v>
      </c>
    </row>
    <row r="454" spans="1:11" ht="15" customHeight="1" x14ac:dyDescent="0.2">
      <c r="A454" s="22" t="s">
        <v>385</v>
      </c>
      <c r="B454" s="23" t="s">
        <v>8</v>
      </c>
      <c r="C454" s="23" t="s">
        <v>9</v>
      </c>
      <c r="D454" s="24" t="s">
        <v>64</v>
      </c>
      <c r="E454" s="24" t="s">
        <v>13</v>
      </c>
      <c r="F454" s="18"/>
      <c r="G454" s="19"/>
      <c r="H454" s="20"/>
      <c r="I454" s="21">
        <v>0.2349</v>
      </c>
      <c r="J454" s="20"/>
      <c r="K454" s="20"/>
    </row>
    <row r="455" spans="1:11" ht="15" customHeight="1" x14ac:dyDescent="0.2">
      <c r="A455" s="22" t="s">
        <v>386</v>
      </c>
      <c r="B455" s="23" t="s">
        <v>8</v>
      </c>
      <c r="C455" s="23" t="s">
        <v>9</v>
      </c>
      <c r="D455" s="24" t="s">
        <v>64</v>
      </c>
      <c r="E455" s="24" t="s">
        <v>363</v>
      </c>
      <c r="F455" s="18"/>
      <c r="G455" s="19"/>
      <c r="H455" s="20"/>
      <c r="I455" s="21"/>
      <c r="J455" s="20"/>
      <c r="K455" s="20"/>
    </row>
    <row r="456" spans="1:11" ht="15" customHeight="1" x14ac:dyDescent="0.2">
      <c r="A456" s="22" t="s">
        <v>387</v>
      </c>
      <c r="B456" s="23" t="s">
        <v>8</v>
      </c>
      <c r="C456" s="23" t="s">
        <v>9</v>
      </c>
      <c r="D456" s="24" t="s">
        <v>64</v>
      </c>
      <c r="E456" s="24" t="s">
        <v>363</v>
      </c>
      <c r="F456" s="18">
        <v>23.7104</v>
      </c>
      <c r="G456" s="19">
        <v>2.5188000000000001</v>
      </c>
      <c r="H456" s="20">
        <v>0.15770000000000001</v>
      </c>
      <c r="I456" s="21">
        <v>549.04570000000001</v>
      </c>
      <c r="J456" s="20">
        <v>49.080599999999997</v>
      </c>
      <c r="K456" s="20">
        <v>2.9064000000000001</v>
      </c>
    </row>
    <row r="457" spans="1:11" ht="15" customHeight="1" x14ac:dyDescent="0.2">
      <c r="A457" s="22" t="s">
        <v>388</v>
      </c>
      <c r="B457" s="23" t="s">
        <v>8</v>
      </c>
      <c r="C457" s="23" t="s">
        <v>9</v>
      </c>
      <c r="D457" s="24" t="s">
        <v>64</v>
      </c>
      <c r="E457" s="24" t="s">
        <v>363</v>
      </c>
      <c r="F457" s="18">
        <v>34.488300000000002</v>
      </c>
      <c r="G457" s="19">
        <v>5.6889000000000003</v>
      </c>
      <c r="H457" s="20">
        <v>0.2626</v>
      </c>
      <c r="I457" s="21">
        <v>739.96220000000005</v>
      </c>
      <c r="J457" s="20">
        <v>104.66840000000001</v>
      </c>
      <c r="K457" s="20">
        <v>4.7222</v>
      </c>
    </row>
    <row r="458" spans="1:11" ht="15" customHeight="1" x14ac:dyDescent="0.2">
      <c r="A458" s="22" t="s">
        <v>389</v>
      </c>
      <c r="B458" s="23" t="s">
        <v>8</v>
      </c>
      <c r="C458" s="23" t="s">
        <v>9</v>
      </c>
      <c r="D458" s="24" t="s">
        <v>64</v>
      </c>
      <c r="E458" s="24" t="s">
        <v>363</v>
      </c>
      <c r="F458" s="18">
        <v>0.31869999999999998</v>
      </c>
      <c r="G458" s="19"/>
      <c r="H458" s="20"/>
      <c r="I458" s="21">
        <v>6.5327000000000002</v>
      </c>
      <c r="J458" s="20"/>
      <c r="K458" s="20"/>
    </row>
    <row r="459" spans="1:11" ht="15" customHeight="1" x14ac:dyDescent="0.2">
      <c r="A459" s="22" t="s">
        <v>390</v>
      </c>
      <c r="B459" s="23" t="s">
        <v>8</v>
      </c>
      <c r="C459" s="23" t="s">
        <v>9</v>
      </c>
      <c r="D459" s="24" t="s">
        <v>64</v>
      </c>
      <c r="E459" s="24" t="s">
        <v>363</v>
      </c>
      <c r="F459" s="18">
        <v>7.1499999999999994E-2</v>
      </c>
      <c r="G459" s="19"/>
      <c r="H459" s="20"/>
      <c r="I459" s="21">
        <v>1.2682</v>
      </c>
      <c r="J459" s="20"/>
      <c r="K459" s="20"/>
    </row>
    <row r="460" spans="1:11" ht="14.25" customHeight="1" x14ac:dyDescent="0.2">
      <c r="A460" s="25" t="s">
        <v>772</v>
      </c>
      <c r="B460" s="4" t="s">
        <v>5</v>
      </c>
      <c r="C460" s="4"/>
      <c r="D460" s="5"/>
      <c r="E460" s="5"/>
      <c r="F460" s="10"/>
      <c r="G460" s="11"/>
      <c r="H460" s="12"/>
      <c r="I460" s="13"/>
      <c r="J460" s="12"/>
      <c r="K460" s="12"/>
    </row>
    <row r="461" spans="1:11" ht="15" customHeight="1" x14ac:dyDescent="0.2">
      <c r="A461" s="14" t="s">
        <v>391</v>
      </c>
      <c r="B461" s="15" t="s">
        <v>6</v>
      </c>
      <c r="C461" s="16"/>
      <c r="D461" s="17"/>
      <c r="E461" s="17"/>
      <c r="F461" s="18"/>
      <c r="G461" s="19"/>
      <c r="H461" s="20"/>
      <c r="I461" s="21"/>
      <c r="J461" s="20"/>
      <c r="K461" s="20"/>
    </row>
    <row r="462" spans="1:11" ht="15" customHeight="1" x14ac:dyDescent="0.2">
      <c r="A462" s="22" t="s">
        <v>392</v>
      </c>
      <c r="B462" s="23" t="s">
        <v>8</v>
      </c>
      <c r="C462" s="23" t="s">
        <v>9</v>
      </c>
      <c r="D462" s="24" t="s">
        <v>30</v>
      </c>
      <c r="E462" s="24" t="s">
        <v>21</v>
      </c>
      <c r="F462" s="18"/>
      <c r="G462" s="19"/>
      <c r="H462" s="20"/>
      <c r="I462" s="21"/>
      <c r="J462" s="20"/>
      <c r="K462" s="20"/>
    </row>
    <row r="463" spans="1:11" ht="14.25" customHeight="1" x14ac:dyDescent="0.2">
      <c r="A463" s="25" t="s">
        <v>773</v>
      </c>
      <c r="B463" s="4" t="s">
        <v>5</v>
      </c>
      <c r="C463" s="4"/>
      <c r="D463" s="5"/>
      <c r="E463" s="5"/>
      <c r="F463" s="10"/>
      <c r="G463" s="11">
        <v>6.2138</v>
      </c>
      <c r="H463" s="12">
        <v>8.77E-2</v>
      </c>
      <c r="I463" s="13"/>
      <c r="J463" s="12">
        <v>384.83499999999998</v>
      </c>
      <c r="K463" s="12">
        <v>5.7408999999999999</v>
      </c>
    </row>
    <row r="464" spans="1:11" ht="15" customHeight="1" x14ac:dyDescent="0.2">
      <c r="A464" s="14" t="s">
        <v>393</v>
      </c>
      <c r="B464" s="15" t="s">
        <v>6</v>
      </c>
      <c r="C464" s="16"/>
      <c r="D464" s="17"/>
      <c r="E464" s="17"/>
      <c r="F464" s="18"/>
      <c r="G464" s="19">
        <v>6.2138</v>
      </c>
      <c r="H464" s="20">
        <v>8.77E-2</v>
      </c>
      <c r="I464" s="21"/>
      <c r="J464" s="20">
        <v>384.83499999999998</v>
      </c>
      <c r="K464" s="20">
        <v>5.7408999999999999</v>
      </c>
    </row>
    <row r="465" spans="1:11" ht="15" customHeight="1" x14ac:dyDescent="0.2">
      <c r="A465" s="22" t="s">
        <v>394</v>
      </c>
      <c r="B465" s="23" t="s">
        <v>8</v>
      </c>
      <c r="C465" s="23" t="s">
        <v>9</v>
      </c>
      <c r="D465" s="24" t="s">
        <v>69</v>
      </c>
      <c r="E465" s="24" t="s">
        <v>42</v>
      </c>
      <c r="F465" s="18"/>
      <c r="G465" s="19">
        <v>6.2138</v>
      </c>
      <c r="H465" s="20">
        <v>8.77E-2</v>
      </c>
      <c r="I465" s="21"/>
      <c r="J465" s="20">
        <v>384.83499999999998</v>
      </c>
      <c r="K465" s="20">
        <v>5.7408999999999999</v>
      </c>
    </row>
    <row r="466" spans="1:11" ht="14.25" customHeight="1" x14ac:dyDescent="0.2">
      <c r="A466" s="25" t="s">
        <v>774</v>
      </c>
      <c r="B466" s="4" t="s">
        <v>5</v>
      </c>
      <c r="C466" s="4"/>
      <c r="D466" s="5"/>
      <c r="E466" s="5"/>
      <c r="F466" s="10">
        <v>62.723500000000001</v>
      </c>
      <c r="G466" s="11">
        <v>72.771000000000001</v>
      </c>
      <c r="H466" s="12">
        <v>17.986000000000001</v>
      </c>
      <c r="I466" s="13">
        <v>4142.5168000000003</v>
      </c>
      <c r="J466" s="12">
        <v>3738.1192999999998</v>
      </c>
      <c r="K466" s="12">
        <v>966.62199999999996</v>
      </c>
    </row>
    <row r="467" spans="1:11" ht="15" customHeight="1" x14ac:dyDescent="0.2">
      <c r="A467" s="14" t="s">
        <v>395</v>
      </c>
      <c r="B467" s="15" t="s">
        <v>6</v>
      </c>
      <c r="C467" s="16"/>
      <c r="D467" s="17"/>
      <c r="E467" s="17"/>
      <c r="F467" s="18">
        <v>20.423200000000001</v>
      </c>
      <c r="G467" s="19">
        <v>51.941600000000001</v>
      </c>
      <c r="H467" s="20">
        <v>13.0914</v>
      </c>
      <c r="I467" s="21">
        <v>1229.9928</v>
      </c>
      <c r="J467" s="20">
        <v>2594.8521000000001</v>
      </c>
      <c r="K467" s="20">
        <v>721.54930000000002</v>
      </c>
    </row>
    <row r="468" spans="1:11" ht="15" customHeight="1" x14ac:dyDescent="0.2">
      <c r="A468" s="22" t="s">
        <v>396</v>
      </c>
      <c r="B468" s="23" t="s">
        <v>8</v>
      </c>
      <c r="C468" s="23" t="s">
        <v>9</v>
      </c>
      <c r="D468" s="24" t="s">
        <v>64</v>
      </c>
      <c r="E468" s="24" t="s">
        <v>21</v>
      </c>
      <c r="F468" s="18">
        <v>2.8529</v>
      </c>
      <c r="G468" s="19"/>
      <c r="H468" s="20"/>
      <c r="I468" s="21">
        <v>195.97380000000001</v>
      </c>
      <c r="J468" s="20"/>
      <c r="K468" s="20"/>
    </row>
    <row r="469" spans="1:11" ht="15" customHeight="1" x14ac:dyDescent="0.2">
      <c r="A469" s="22" t="s">
        <v>397</v>
      </c>
      <c r="B469" s="23" t="s">
        <v>8</v>
      </c>
      <c r="C469" s="23" t="s">
        <v>9</v>
      </c>
      <c r="D469" s="24" t="s">
        <v>64</v>
      </c>
      <c r="E469" s="24" t="s">
        <v>21</v>
      </c>
      <c r="F469" s="18">
        <v>13.515499999999999</v>
      </c>
      <c r="G469" s="19">
        <v>1.9742999999999999</v>
      </c>
      <c r="H469" s="20">
        <v>2.98E-2</v>
      </c>
      <c r="I469" s="21">
        <v>813.32730000000004</v>
      </c>
      <c r="J469" s="20">
        <v>103.7679</v>
      </c>
      <c r="K469" s="20">
        <v>1.4246000000000001</v>
      </c>
    </row>
    <row r="470" spans="1:11" ht="15" customHeight="1" x14ac:dyDescent="0.2">
      <c r="A470" s="22" t="s">
        <v>398</v>
      </c>
      <c r="B470" s="23" t="s">
        <v>8</v>
      </c>
      <c r="C470" s="23" t="s">
        <v>9</v>
      </c>
      <c r="D470" s="24" t="s">
        <v>64</v>
      </c>
      <c r="E470" s="24" t="s">
        <v>24</v>
      </c>
      <c r="F470" s="18"/>
      <c r="G470" s="19">
        <v>47.540100000000002</v>
      </c>
      <c r="H470" s="20">
        <v>13.0617</v>
      </c>
      <c r="I470" s="21"/>
      <c r="J470" s="20">
        <v>2356.4949999999999</v>
      </c>
      <c r="K470" s="20">
        <v>720.12469999999996</v>
      </c>
    </row>
    <row r="471" spans="1:11" ht="15" customHeight="1" x14ac:dyDescent="0.2">
      <c r="A471" s="22" t="s">
        <v>399</v>
      </c>
      <c r="B471" s="23" t="s">
        <v>8</v>
      </c>
      <c r="C471" s="23" t="s">
        <v>9</v>
      </c>
      <c r="D471" s="24" t="s">
        <v>64</v>
      </c>
      <c r="E471" s="24" t="s">
        <v>103</v>
      </c>
      <c r="F471" s="18">
        <v>4.0548000000000002</v>
      </c>
      <c r="G471" s="19">
        <v>2.4268999999999998</v>
      </c>
      <c r="H471" s="20"/>
      <c r="I471" s="21">
        <v>220.69159999999999</v>
      </c>
      <c r="J471" s="20">
        <v>134.58930000000001</v>
      </c>
      <c r="K471" s="20"/>
    </row>
    <row r="472" spans="1:11" ht="15" customHeight="1" x14ac:dyDescent="0.2">
      <c r="A472" s="14" t="s">
        <v>400</v>
      </c>
      <c r="B472" s="15" t="s">
        <v>6</v>
      </c>
      <c r="C472" s="16"/>
      <c r="D472" s="17"/>
      <c r="E472" s="17"/>
      <c r="F472" s="18">
        <v>42.300199999999997</v>
      </c>
      <c r="G472" s="19">
        <v>20.829499999999999</v>
      </c>
      <c r="H472" s="20">
        <v>4.8948</v>
      </c>
      <c r="I472" s="21">
        <v>2912.5239999999999</v>
      </c>
      <c r="J472" s="20">
        <v>1143.2672</v>
      </c>
      <c r="K472" s="20">
        <v>245.0727</v>
      </c>
    </row>
    <row r="473" spans="1:11" ht="15" customHeight="1" x14ac:dyDescent="0.2">
      <c r="A473" s="22" t="s">
        <v>401</v>
      </c>
      <c r="B473" s="23" t="s">
        <v>8</v>
      </c>
      <c r="C473" s="23" t="s">
        <v>9</v>
      </c>
      <c r="D473" s="24" t="s">
        <v>20</v>
      </c>
      <c r="E473" s="24" t="s">
        <v>103</v>
      </c>
      <c r="F473" s="18">
        <v>42.300199999999997</v>
      </c>
      <c r="G473" s="19">
        <v>20.829499999999999</v>
      </c>
      <c r="H473" s="20">
        <v>4.8948</v>
      </c>
      <c r="I473" s="21">
        <v>2912.5239999999999</v>
      </c>
      <c r="J473" s="20">
        <v>1143.2672</v>
      </c>
      <c r="K473" s="20">
        <v>245.0727</v>
      </c>
    </row>
    <row r="474" spans="1:11" ht="14.25" customHeight="1" x14ac:dyDescent="0.2">
      <c r="A474" s="25" t="s">
        <v>775</v>
      </c>
      <c r="B474" s="4" t="s">
        <v>5</v>
      </c>
      <c r="C474" s="4"/>
      <c r="D474" s="5"/>
      <c r="E474" s="5"/>
      <c r="F474" s="10">
        <v>27.204899999999999</v>
      </c>
      <c r="G474" s="11">
        <v>84.962400000000002</v>
      </c>
      <c r="H474" s="12">
        <v>67.934799999999996</v>
      </c>
      <c r="I474" s="13">
        <v>1705.1168</v>
      </c>
      <c r="J474" s="12">
        <v>4625.1881000000003</v>
      </c>
      <c r="K474" s="12">
        <v>3467.3735000000001</v>
      </c>
    </row>
    <row r="475" spans="1:11" ht="15" customHeight="1" x14ac:dyDescent="0.2">
      <c r="A475" s="14" t="s">
        <v>402</v>
      </c>
      <c r="B475" s="15" t="s">
        <v>6</v>
      </c>
      <c r="C475" s="16"/>
      <c r="D475" s="17"/>
      <c r="E475" s="17"/>
      <c r="F475" s="18">
        <v>12.6196</v>
      </c>
      <c r="G475" s="19">
        <v>0.30170000000000002</v>
      </c>
      <c r="H475" s="20"/>
      <c r="I475" s="21">
        <v>774.8818</v>
      </c>
      <c r="J475" s="20">
        <v>18.222799999999999</v>
      </c>
      <c r="K475" s="20"/>
    </row>
    <row r="476" spans="1:11" ht="15" customHeight="1" x14ac:dyDescent="0.2">
      <c r="A476" s="22" t="s">
        <v>403</v>
      </c>
      <c r="B476" s="23" t="s">
        <v>8</v>
      </c>
      <c r="C476" s="23" t="s">
        <v>9</v>
      </c>
      <c r="D476" s="24" t="s">
        <v>20</v>
      </c>
      <c r="E476" s="24" t="s">
        <v>24</v>
      </c>
      <c r="F476" s="18">
        <v>12.6196</v>
      </c>
      <c r="G476" s="19">
        <v>0.30170000000000002</v>
      </c>
      <c r="H476" s="20"/>
      <c r="I476" s="21">
        <v>774.8818</v>
      </c>
      <c r="J476" s="20">
        <v>18.222799999999999</v>
      </c>
      <c r="K476" s="20"/>
    </row>
    <row r="477" spans="1:11" ht="15" customHeight="1" x14ac:dyDescent="0.2">
      <c r="A477" s="14" t="s">
        <v>404</v>
      </c>
      <c r="B477" s="15" t="s">
        <v>6</v>
      </c>
      <c r="C477" s="16"/>
      <c r="D477" s="17"/>
      <c r="E477" s="17"/>
      <c r="F477" s="18">
        <v>14.5854</v>
      </c>
      <c r="G477" s="19">
        <v>84.660600000000002</v>
      </c>
      <c r="H477" s="20">
        <v>67.934799999999996</v>
      </c>
      <c r="I477" s="21">
        <v>930.23509999999999</v>
      </c>
      <c r="J477" s="20">
        <v>4606.9654</v>
      </c>
      <c r="K477" s="20">
        <v>3467.3735000000001</v>
      </c>
    </row>
    <row r="478" spans="1:11" ht="15" customHeight="1" x14ac:dyDescent="0.2">
      <c r="A478" s="22" t="s">
        <v>405</v>
      </c>
      <c r="B478" s="23" t="s">
        <v>8</v>
      </c>
      <c r="C478" s="23" t="s">
        <v>9</v>
      </c>
      <c r="D478" s="24" t="s">
        <v>30</v>
      </c>
      <c r="E478" s="24" t="s">
        <v>24</v>
      </c>
      <c r="F478" s="18"/>
      <c r="G478" s="19">
        <v>39.128300000000003</v>
      </c>
      <c r="H478" s="20">
        <v>18.019200000000001</v>
      </c>
      <c r="I478" s="21"/>
      <c r="J478" s="20">
        <v>2116.4569999999999</v>
      </c>
      <c r="K478" s="20">
        <v>1056.0386000000001</v>
      </c>
    </row>
    <row r="479" spans="1:11" ht="15" customHeight="1" x14ac:dyDescent="0.2">
      <c r="A479" s="22" t="s">
        <v>406</v>
      </c>
      <c r="B479" s="23" t="s">
        <v>8</v>
      </c>
      <c r="C479" s="23" t="s">
        <v>9</v>
      </c>
      <c r="D479" s="24" t="s">
        <v>30</v>
      </c>
      <c r="E479" s="24" t="s">
        <v>42</v>
      </c>
      <c r="F479" s="18">
        <v>14.5854</v>
      </c>
      <c r="G479" s="19">
        <v>45.532299999999999</v>
      </c>
      <c r="H479" s="20">
        <v>49.915700000000001</v>
      </c>
      <c r="I479" s="21">
        <v>930.23509999999999</v>
      </c>
      <c r="J479" s="20">
        <v>2490.5082000000002</v>
      </c>
      <c r="K479" s="20">
        <v>2411.3348000000001</v>
      </c>
    </row>
    <row r="480" spans="1:11" ht="14.25" customHeight="1" x14ac:dyDescent="0.2">
      <c r="A480" s="25" t="s">
        <v>776</v>
      </c>
      <c r="B480" s="4" t="s">
        <v>5</v>
      </c>
      <c r="C480" s="4"/>
      <c r="D480" s="5"/>
      <c r="E480" s="5"/>
      <c r="F480" s="10">
        <v>0.31290000000000001</v>
      </c>
      <c r="G480" s="11">
        <v>4.0300000000000002E-2</v>
      </c>
      <c r="H480" s="12"/>
      <c r="I480" s="13">
        <v>2.3519999999999999</v>
      </c>
      <c r="J480" s="12">
        <v>0.30399999999999999</v>
      </c>
      <c r="K480" s="12"/>
    </row>
    <row r="481" spans="1:11" ht="15" customHeight="1" x14ac:dyDescent="0.2">
      <c r="A481" s="14" t="s">
        <v>407</v>
      </c>
      <c r="B481" s="15" t="s">
        <v>6</v>
      </c>
      <c r="C481" s="16"/>
      <c r="D481" s="17"/>
      <c r="E481" s="17"/>
      <c r="F481" s="18">
        <v>0.31290000000000001</v>
      </c>
      <c r="G481" s="19">
        <v>4.0300000000000002E-2</v>
      </c>
      <c r="H481" s="20"/>
      <c r="I481" s="21">
        <v>2.3519999999999999</v>
      </c>
      <c r="J481" s="20">
        <v>0.30399999999999999</v>
      </c>
      <c r="K481" s="20"/>
    </row>
    <row r="482" spans="1:11" ht="15" customHeight="1" x14ac:dyDescent="0.2">
      <c r="A482" s="22" t="s">
        <v>408</v>
      </c>
      <c r="B482" s="23" t="s">
        <v>8</v>
      </c>
      <c r="C482" s="23" t="s">
        <v>9</v>
      </c>
      <c r="D482" s="24" t="s">
        <v>64</v>
      </c>
      <c r="E482" s="24" t="s">
        <v>34</v>
      </c>
      <c r="F482" s="18">
        <v>0.1139</v>
      </c>
      <c r="G482" s="19">
        <v>4.0300000000000002E-2</v>
      </c>
      <c r="H482" s="20"/>
      <c r="I482" s="21">
        <v>0.85599999999999998</v>
      </c>
      <c r="J482" s="20">
        <v>0.30399999999999999</v>
      </c>
      <c r="K482" s="20"/>
    </row>
    <row r="483" spans="1:11" ht="15" customHeight="1" x14ac:dyDescent="0.2">
      <c r="A483" s="22" t="s">
        <v>409</v>
      </c>
      <c r="B483" s="23" t="s">
        <v>8</v>
      </c>
      <c r="C483" s="23" t="s">
        <v>9</v>
      </c>
      <c r="D483" s="24" t="s">
        <v>64</v>
      </c>
      <c r="E483" s="24" t="s">
        <v>34</v>
      </c>
      <c r="F483" s="18">
        <v>0.19919999999999999</v>
      </c>
      <c r="G483" s="19"/>
      <c r="H483" s="20"/>
      <c r="I483" s="21">
        <v>1.496</v>
      </c>
      <c r="J483" s="20"/>
      <c r="K483" s="20"/>
    </row>
    <row r="484" spans="1:11" ht="14.25" customHeight="1" x14ac:dyDescent="0.2">
      <c r="A484" s="25" t="s">
        <v>777</v>
      </c>
      <c r="B484" s="4" t="s">
        <v>5</v>
      </c>
      <c r="C484" s="4"/>
      <c r="D484" s="5"/>
      <c r="E484" s="5"/>
      <c r="F484" s="10">
        <v>131.49090000000001</v>
      </c>
      <c r="G484" s="11">
        <v>246.0711</v>
      </c>
      <c r="H484" s="12">
        <v>78.181899999999999</v>
      </c>
      <c r="I484" s="13">
        <v>7528.2015000000001</v>
      </c>
      <c r="J484" s="12">
        <v>14073.58</v>
      </c>
      <c r="K484" s="12">
        <v>4344.6674999999996</v>
      </c>
    </row>
    <row r="485" spans="1:11" ht="15" customHeight="1" x14ac:dyDescent="0.2">
      <c r="A485" s="14" t="s">
        <v>410</v>
      </c>
      <c r="B485" s="15" t="s">
        <v>6</v>
      </c>
      <c r="C485" s="16"/>
      <c r="D485" s="17"/>
      <c r="E485" s="17"/>
      <c r="F485" s="18">
        <v>17.142399999999999</v>
      </c>
      <c r="G485" s="19">
        <v>6.4819000000000004</v>
      </c>
      <c r="H485" s="20">
        <v>0.25540000000000002</v>
      </c>
      <c r="I485" s="21">
        <v>938.0729</v>
      </c>
      <c r="J485" s="20">
        <v>380.07749999999999</v>
      </c>
      <c r="K485" s="20">
        <v>12.7729</v>
      </c>
    </row>
    <row r="486" spans="1:11" ht="15" customHeight="1" x14ac:dyDescent="0.2">
      <c r="A486" s="22" t="s">
        <v>411</v>
      </c>
      <c r="B486" s="23" t="s">
        <v>8</v>
      </c>
      <c r="C486" s="23" t="s">
        <v>9</v>
      </c>
      <c r="D486" s="24" t="s">
        <v>30</v>
      </c>
      <c r="E486" s="24" t="s">
        <v>21</v>
      </c>
      <c r="F486" s="18">
        <v>4.4461000000000004</v>
      </c>
      <c r="G486" s="19">
        <v>2.0626000000000002</v>
      </c>
      <c r="H486" s="20"/>
      <c r="I486" s="21">
        <v>234.7319</v>
      </c>
      <c r="J486" s="20">
        <v>137.5095</v>
      </c>
      <c r="K486" s="20"/>
    </row>
    <row r="487" spans="1:11" ht="15" customHeight="1" x14ac:dyDescent="0.2">
      <c r="A487" s="22" t="s">
        <v>412</v>
      </c>
      <c r="B487" s="23" t="s">
        <v>8</v>
      </c>
      <c r="C487" s="23" t="s">
        <v>9</v>
      </c>
      <c r="D487" s="24" t="s">
        <v>20</v>
      </c>
      <c r="E487" s="24" t="s">
        <v>26</v>
      </c>
      <c r="F487" s="18">
        <v>0.15609999999999999</v>
      </c>
      <c r="G487" s="19">
        <v>2.98E-2</v>
      </c>
      <c r="H487" s="20">
        <v>0.25540000000000002</v>
      </c>
      <c r="I487" s="21">
        <v>9.3703000000000003</v>
      </c>
      <c r="J487" s="20">
        <v>1.4905999999999999</v>
      </c>
      <c r="K487" s="20">
        <v>12.7729</v>
      </c>
    </row>
    <row r="488" spans="1:11" ht="15" customHeight="1" x14ac:dyDescent="0.2">
      <c r="A488" s="22" t="s">
        <v>413</v>
      </c>
      <c r="B488" s="23" t="s">
        <v>8</v>
      </c>
      <c r="C488" s="23" t="s">
        <v>9</v>
      </c>
      <c r="D488" s="24" t="s">
        <v>10</v>
      </c>
      <c r="E488" s="24" t="s">
        <v>99</v>
      </c>
      <c r="F488" s="18">
        <v>1.8445</v>
      </c>
      <c r="G488" s="19"/>
      <c r="H488" s="20"/>
      <c r="I488" s="21">
        <v>41.871899999999997</v>
      </c>
      <c r="J488" s="20"/>
      <c r="K488" s="20"/>
    </row>
    <row r="489" spans="1:11" ht="15" customHeight="1" x14ac:dyDescent="0.2">
      <c r="A489" s="22" t="s">
        <v>414</v>
      </c>
      <c r="B489" s="23" t="s">
        <v>8</v>
      </c>
      <c r="C489" s="23" t="s">
        <v>9</v>
      </c>
      <c r="D489" s="24" t="s">
        <v>20</v>
      </c>
      <c r="E489" s="24" t="s">
        <v>42</v>
      </c>
      <c r="F489" s="18">
        <v>0.57199999999999995</v>
      </c>
      <c r="G489" s="19"/>
      <c r="H489" s="20"/>
      <c r="I489" s="21">
        <v>34.318100000000001</v>
      </c>
      <c r="J489" s="20"/>
      <c r="K489" s="20"/>
    </row>
    <row r="490" spans="1:11" ht="15" customHeight="1" x14ac:dyDescent="0.2">
      <c r="A490" s="22" t="s">
        <v>415</v>
      </c>
      <c r="B490" s="23" t="s">
        <v>8</v>
      </c>
      <c r="C490" s="23" t="s">
        <v>9</v>
      </c>
      <c r="D490" s="24" t="s">
        <v>20</v>
      </c>
      <c r="E490" s="24" t="s">
        <v>42</v>
      </c>
      <c r="F490" s="18">
        <v>10.123900000000001</v>
      </c>
      <c r="G490" s="19">
        <v>4.3895</v>
      </c>
      <c r="H490" s="20"/>
      <c r="I490" s="21">
        <v>617.78060000000005</v>
      </c>
      <c r="J490" s="20">
        <v>241.07740000000001</v>
      </c>
      <c r="K490" s="20"/>
    </row>
    <row r="491" spans="1:11" ht="15" customHeight="1" x14ac:dyDescent="0.2">
      <c r="A491" s="14" t="s">
        <v>416</v>
      </c>
      <c r="B491" s="15" t="s">
        <v>6</v>
      </c>
      <c r="C491" s="16"/>
      <c r="D491" s="17"/>
      <c r="E491" s="17"/>
      <c r="F491" s="18"/>
      <c r="G491" s="19">
        <v>71.560299999999998</v>
      </c>
      <c r="H491" s="20">
        <v>32.9009</v>
      </c>
      <c r="I491" s="21"/>
      <c r="J491" s="20">
        <v>4107.0888999999997</v>
      </c>
      <c r="K491" s="20">
        <v>1795.3303000000001</v>
      </c>
    </row>
    <row r="492" spans="1:11" ht="15" customHeight="1" x14ac:dyDescent="0.2">
      <c r="A492" s="22" t="s">
        <v>417</v>
      </c>
      <c r="B492" s="23" t="s">
        <v>8</v>
      </c>
      <c r="C492" s="23" t="s">
        <v>9</v>
      </c>
      <c r="D492" s="24" t="s">
        <v>64</v>
      </c>
      <c r="E492" s="24" t="s">
        <v>24</v>
      </c>
      <c r="F492" s="18"/>
      <c r="G492" s="19">
        <v>56.203800000000001</v>
      </c>
      <c r="H492" s="20">
        <v>22.180299999999999</v>
      </c>
      <c r="I492" s="21"/>
      <c r="J492" s="20">
        <v>3259.8697999999999</v>
      </c>
      <c r="K492" s="20">
        <v>1260.6195</v>
      </c>
    </row>
    <row r="493" spans="1:11" ht="15" customHeight="1" x14ac:dyDescent="0.2">
      <c r="A493" s="22" t="s">
        <v>418</v>
      </c>
      <c r="B493" s="23" t="s">
        <v>8</v>
      </c>
      <c r="C493" s="23" t="s">
        <v>9</v>
      </c>
      <c r="D493" s="24" t="s">
        <v>64</v>
      </c>
      <c r="E493" s="24" t="s">
        <v>42</v>
      </c>
      <c r="F493" s="18"/>
      <c r="G493" s="19">
        <v>15.356400000000001</v>
      </c>
      <c r="H493" s="20">
        <v>10.720599999999999</v>
      </c>
      <c r="I493" s="21"/>
      <c r="J493" s="20">
        <v>847.21910000000003</v>
      </c>
      <c r="K493" s="20">
        <v>534.71069999999997</v>
      </c>
    </row>
    <row r="494" spans="1:11" ht="15" customHeight="1" x14ac:dyDescent="0.2">
      <c r="A494" s="14" t="s">
        <v>419</v>
      </c>
      <c r="B494" s="15" t="s">
        <v>6</v>
      </c>
      <c r="C494" s="16"/>
      <c r="D494" s="17"/>
      <c r="E494" s="17"/>
      <c r="F494" s="18">
        <v>1.0731999999999999</v>
      </c>
      <c r="G494" s="19"/>
      <c r="H494" s="20"/>
      <c r="I494" s="21">
        <v>47.075600000000001</v>
      </c>
      <c r="J494" s="20"/>
      <c r="K494" s="20"/>
    </row>
    <row r="495" spans="1:11" ht="15" customHeight="1" x14ac:dyDescent="0.2">
      <c r="A495" s="22" t="s">
        <v>420</v>
      </c>
      <c r="B495" s="23" t="s">
        <v>8</v>
      </c>
      <c r="C495" s="23" t="s">
        <v>9</v>
      </c>
      <c r="D495" s="24" t="s">
        <v>10</v>
      </c>
      <c r="E495" s="24" t="s">
        <v>17</v>
      </c>
      <c r="F495" s="18">
        <v>1.0731999999999999</v>
      </c>
      <c r="G495" s="19"/>
      <c r="H495" s="20"/>
      <c r="I495" s="21">
        <v>47.075600000000001</v>
      </c>
      <c r="J495" s="20"/>
      <c r="K495" s="20"/>
    </row>
    <row r="496" spans="1:11" ht="15" customHeight="1" x14ac:dyDescent="0.2">
      <c r="A496" s="14" t="s">
        <v>421</v>
      </c>
      <c r="B496" s="15" t="s">
        <v>6</v>
      </c>
      <c r="C496" s="16"/>
      <c r="D496" s="17"/>
      <c r="E496" s="17"/>
      <c r="F496" s="18">
        <v>2.6486999999999998</v>
      </c>
      <c r="G496" s="19"/>
      <c r="H496" s="20"/>
      <c r="I496" s="21">
        <v>124.62050000000001</v>
      </c>
      <c r="J496" s="20"/>
      <c r="K496" s="20"/>
    </row>
    <row r="497" spans="1:11" ht="15" customHeight="1" x14ac:dyDescent="0.2">
      <c r="A497" s="22" t="s">
        <v>422</v>
      </c>
      <c r="B497" s="23" t="s">
        <v>8</v>
      </c>
      <c r="C497" s="23" t="s">
        <v>9</v>
      </c>
      <c r="D497" s="24" t="s">
        <v>64</v>
      </c>
      <c r="E497" s="24" t="s">
        <v>423</v>
      </c>
      <c r="F497" s="18">
        <v>2.6486999999999998</v>
      </c>
      <c r="G497" s="19"/>
      <c r="H497" s="20"/>
      <c r="I497" s="21">
        <v>124.62050000000001</v>
      </c>
      <c r="J497" s="20"/>
      <c r="K497" s="20"/>
    </row>
    <row r="498" spans="1:11" ht="15" customHeight="1" x14ac:dyDescent="0.2">
      <c r="A498" s="14" t="s">
        <v>424</v>
      </c>
      <c r="B498" s="15" t="s">
        <v>6</v>
      </c>
      <c r="C498" s="16"/>
      <c r="D498" s="17"/>
      <c r="E498" s="17"/>
      <c r="F498" s="18">
        <v>110.6263</v>
      </c>
      <c r="G498" s="19">
        <v>168.029</v>
      </c>
      <c r="H498" s="20">
        <v>45.025399999999998</v>
      </c>
      <c r="I498" s="21">
        <v>6418.4327000000003</v>
      </c>
      <c r="J498" s="20">
        <v>9586.4138000000003</v>
      </c>
      <c r="K498" s="20">
        <v>2536.5643</v>
      </c>
    </row>
    <row r="499" spans="1:11" ht="15" customHeight="1" x14ac:dyDescent="0.2">
      <c r="A499" s="22" t="s">
        <v>425</v>
      </c>
      <c r="B499" s="23" t="s">
        <v>8</v>
      </c>
      <c r="C499" s="23" t="s">
        <v>9</v>
      </c>
      <c r="D499" s="24" t="s">
        <v>20</v>
      </c>
      <c r="E499" s="24" t="s">
        <v>24</v>
      </c>
      <c r="F499" s="18">
        <v>84.095799999999997</v>
      </c>
      <c r="G499" s="19">
        <v>151.49979999999999</v>
      </c>
      <c r="H499" s="20">
        <v>39.488900000000001</v>
      </c>
      <c r="I499" s="21">
        <v>4863.5491000000002</v>
      </c>
      <c r="J499" s="20">
        <v>8687.4974999999995</v>
      </c>
      <c r="K499" s="20">
        <v>2240.9688000000001</v>
      </c>
    </row>
    <row r="500" spans="1:11" ht="15" customHeight="1" x14ac:dyDescent="0.2">
      <c r="A500" s="22" t="s">
        <v>426</v>
      </c>
      <c r="B500" s="23" t="s">
        <v>8</v>
      </c>
      <c r="C500" s="23" t="s">
        <v>9</v>
      </c>
      <c r="D500" s="24" t="s">
        <v>20</v>
      </c>
      <c r="E500" s="24" t="s">
        <v>42</v>
      </c>
      <c r="F500" s="18">
        <v>24.440899999999999</v>
      </c>
      <c r="G500" s="19">
        <v>13.931900000000001</v>
      </c>
      <c r="H500" s="20">
        <v>5.4257</v>
      </c>
      <c r="I500" s="21">
        <v>1419.3269</v>
      </c>
      <c r="J500" s="20">
        <v>757.8877</v>
      </c>
      <c r="K500" s="20">
        <v>289.12630000000001</v>
      </c>
    </row>
    <row r="501" spans="1:11" ht="15" customHeight="1" x14ac:dyDescent="0.2">
      <c r="A501" s="22" t="s">
        <v>427</v>
      </c>
      <c r="B501" s="23" t="s">
        <v>8</v>
      </c>
      <c r="C501" s="23" t="s">
        <v>9</v>
      </c>
      <c r="D501" s="24" t="s">
        <v>20</v>
      </c>
      <c r="E501" s="24" t="s">
        <v>42</v>
      </c>
      <c r="F501" s="18">
        <v>2.0893000000000002</v>
      </c>
      <c r="G501" s="19">
        <v>2.5973000000000002</v>
      </c>
      <c r="H501" s="20">
        <v>0.1109</v>
      </c>
      <c r="I501" s="21">
        <v>135.5565</v>
      </c>
      <c r="J501" s="20">
        <v>141.02850000000001</v>
      </c>
      <c r="K501" s="20">
        <v>6.4691999999999998</v>
      </c>
    </row>
    <row r="502" spans="1:11" ht="14.25" customHeight="1" x14ac:dyDescent="0.2">
      <c r="A502" s="25" t="s">
        <v>778</v>
      </c>
      <c r="B502" s="4" t="s">
        <v>5</v>
      </c>
      <c r="C502" s="4"/>
      <c r="D502" s="5"/>
      <c r="E502" s="5"/>
      <c r="F502" s="10">
        <v>8.7314000000000007</v>
      </c>
      <c r="G502" s="11">
        <v>3.2120000000000002</v>
      </c>
      <c r="H502" s="12"/>
      <c r="I502" s="13">
        <v>524.32740000000001</v>
      </c>
      <c r="J502" s="12">
        <v>172.9468</v>
      </c>
      <c r="K502" s="12"/>
    </row>
    <row r="503" spans="1:11" ht="15" customHeight="1" x14ac:dyDescent="0.2">
      <c r="A503" s="14" t="s">
        <v>428</v>
      </c>
      <c r="B503" s="15" t="s">
        <v>6</v>
      </c>
      <c r="C503" s="16"/>
      <c r="D503" s="17"/>
      <c r="E503" s="17"/>
      <c r="F503" s="18">
        <v>6.1833</v>
      </c>
      <c r="G503" s="19">
        <v>0.61119999999999997</v>
      </c>
      <c r="H503" s="20"/>
      <c r="I503" s="21">
        <v>392.1592</v>
      </c>
      <c r="J503" s="20">
        <v>31.181999999999999</v>
      </c>
      <c r="K503" s="20"/>
    </row>
    <row r="504" spans="1:11" ht="15" customHeight="1" x14ac:dyDescent="0.2">
      <c r="A504" s="22" t="s">
        <v>429</v>
      </c>
      <c r="B504" s="23" t="s">
        <v>8</v>
      </c>
      <c r="C504" s="23" t="s">
        <v>9</v>
      </c>
      <c r="D504" s="24" t="s">
        <v>20</v>
      </c>
      <c r="E504" s="24" t="s">
        <v>24</v>
      </c>
      <c r="F504" s="18">
        <v>6.1833</v>
      </c>
      <c r="G504" s="19">
        <v>0.61119999999999997</v>
      </c>
      <c r="H504" s="20"/>
      <c r="I504" s="21">
        <v>392.1592</v>
      </c>
      <c r="J504" s="20">
        <v>31.181999999999999</v>
      </c>
      <c r="K504" s="20"/>
    </row>
    <row r="505" spans="1:11" ht="15" customHeight="1" x14ac:dyDescent="0.2">
      <c r="A505" s="14" t="s">
        <v>430</v>
      </c>
      <c r="B505" s="15" t="s">
        <v>6</v>
      </c>
      <c r="C505" s="16"/>
      <c r="D505" s="17"/>
      <c r="E505" s="17"/>
      <c r="F505" s="18"/>
      <c r="G505" s="19"/>
      <c r="H505" s="20"/>
      <c r="I505" s="21"/>
      <c r="J505" s="20"/>
      <c r="K505" s="20"/>
    </row>
    <row r="506" spans="1:11" ht="15" customHeight="1" x14ac:dyDescent="0.2">
      <c r="A506" s="22" t="s">
        <v>431</v>
      </c>
      <c r="B506" s="23" t="s">
        <v>8</v>
      </c>
      <c r="C506" s="23" t="s">
        <v>9</v>
      </c>
      <c r="D506" s="24" t="s">
        <v>20</v>
      </c>
      <c r="E506" s="24" t="s">
        <v>42</v>
      </c>
      <c r="F506" s="18"/>
      <c r="G506" s="19"/>
      <c r="H506" s="20"/>
      <c r="I506" s="21"/>
      <c r="J506" s="20"/>
      <c r="K506" s="20"/>
    </row>
    <row r="507" spans="1:11" ht="15" customHeight="1" x14ac:dyDescent="0.2">
      <c r="A507" s="14" t="s">
        <v>432</v>
      </c>
      <c r="B507" s="15" t="s">
        <v>6</v>
      </c>
      <c r="C507" s="16"/>
      <c r="D507" s="17"/>
      <c r="E507" s="17"/>
      <c r="F507" s="18">
        <v>2.5480999999999998</v>
      </c>
      <c r="G507" s="19">
        <v>2.6009000000000002</v>
      </c>
      <c r="H507" s="20"/>
      <c r="I507" s="21">
        <v>132.16820000000001</v>
      </c>
      <c r="J507" s="20">
        <v>141.76490000000001</v>
      </c>
      <c r="K507" s="20"/>
    </row>
    <row r="508" spans="1:11" ht="15" customHeight="1" x14ac:dyDescent="0.2">
      <c r="A508" s="22" t="s">
        <v>433</v>
      </c>
      <c r="B508" s="23" t="s">
        <v>8</v>
      </c>
      <c r="C508" s="23" t="s">
        <v>9</v>
      </c>
      <c r="D508" s="24" t="s">
        <v>20</v>
      </c>
      <c r="E508" s="24" t="s">
        <v>24</v>
      </c>
      <c r="F508" s="18">
        <v>2.5480999999999998</v>
      </c>
      <c r="G508" s="19">
        <v>2.6009000000000002</v>
      </c>
      <c r="H508" s="20"/>
      <c r="I508" s="21">
        <v>132.16820000000001</v>
      </c>
      <c r="J508" s="20">
        <v>141.76490000000001</v>
      </c>
      <c r="K508" s="20"/>
    </row>
    <row r="509" spans="1:11" ht="14.25" customHeight="1" x14ac:dyDescent="0.2">
      <c r="A509" s="25" t="s">
        <v>779</v>
      </c>
      <c r="B509" s="4" t="s">
        <v>5</v>
      </c>
      <c r="C509" s="4"/>
      <c r="D509" s="5"/>
      <c r="E509" s="5"/>
      <c r="F509" s="10">
        <v>0.15809999999999999</v>
      </c>
      <c r="G509" s="11">
        <v>2E-3</v>
      </c>
      <c r="H509" s="12">
        <v>1E-3</v>
      </c>
      <c r="I509" s="13">
        <v>2.1</v>
      </c>
      <c r="J509" s="12">
        <v>0.02</v>
      </c>
      <c r="K509" s="12">
        <v>0.02</v>
      </c>
    </row>
    <row r="510" spans="1:11" ht="15" customHeight="1" x14ac:dyDescent="0.2">
      <c r="A510" s="14" t="s">
        <v>434</v>
      </c>
      <c r="B510" s="15" t="s">
        <v>6</v>
      </c>
      <c r="C510" s="16"/>
      <c r="D510" s="17"/>
      <c r="E510" s="17"/>
      <c r="F510" s="18">
        <v>0.15809999999999999</v>
      </c>
      <c r="G510" s="19">
        <v>2E-3</v>
      </c>
      <c r="H510" s="20">
        <v>1E-3</v>
      </c>
      <c r="I510" s="21">
        <v>2.1</v>
      </c>
      <c r="J510" s="20">
        <v>0.02</v>
      </c>
      <c r="K510" s="20">
        <v>0.02</v>
      </c>
    </row>
    <row r="511" spans="1:11" ht="15" customHeight="1" x14ac:dyDescent="0.2">
      <c r="A511" s="22" t="s">
        <v>435</v>
      </c>
      <c r="B511" s="23" t="s">
        <v>8</v>
      </c>
      <c r="C511" s="23" t="s">
        <v>9</v>
      </c>
      <c r="D511" s="24" t="s">
        <v>69</v>
      </c>
      <c r="E511" s="24" t="s">
        <v>11</v>
      </c>
      <c r="F511" s="18">
        <v>0.15809999999999999</v>
      </c>
      <c r="G511" s="19">
        <v>2E-3</v>
      </c>
      <c r="H511" s="20">
        <v>1E-3</v>
      </c>
      <c r="I511" s="21">
        <v>2.1</v>
      </c>
      <c r="J511" s="20">
        <v>0.02</v>
      </c>
      <c r="K511" s="20">
        <v>0.02</v>
      </c>
    </row>
    <row r="512" spans="1:11" ht="14.25" customHeight="1" x14ac:dyDescent="0.2">
      <c r="A512" s="25" t="s">
        <v>780</v>
      </c>
      <c r="B512" s="4" t="s">
        <v>5</v>
      </c>
      <c r="C512" s="4"/>
      <c r="D512" s="5"/>
      <c r="E512" s="5"/>
      <c r="F512" s="10">
        <v>6.0000000000000001E-3</v>
      </c>
      <c r="G512" s="11">
        <v>0.35439999999999999</v>
      </c>
      <c r="H512" s="12"/>
      <c r="I512" s="13">
        <v>0.33839999999999998</v>
      </c>
      <c r="J512" s="12">
        <v>16.541699999999999</v>
      </c>
      <c r="K512" s="12"/>
    </row>
    <row r="513" spans="1:11" ht="15" customHeight="1" x14ac:dyDescent="0.2">
      <c r="A513" s="14" t="s">
        <v>436</v>
      </c>
      <c r="B513" s="15" t="s">
        <v>6</v>
      </c>
      <c r="C513" s="16"/>
      <c r="D513" s="17"/>
      <c r="E513" s="17"/>
      <c r="F513" s="18">
        <v>6.0000000000000001E-3</v>
      </c>
      <c r="G513" s="19">
        <v>0.35439999999999999</v>
      </c>
      <c r="H513" s="20"/>
      <c r="I513" s="21">
        <v>0.33839999999999998</v>
      </c>
      <c r="J513" s="20">
        <v>16.541699999999999</v>
      </c>
      <c r="K513" s="20"/>
    </row>
    <row r="514" spans="1:11" ht="15" customHeight="1" x14ac:dyDescent="0.2">
      <c r="A514" s="22" t="s">
        <v>437</v>
      </c>
      <c r="B514" s="23" t="s">
        <v>8</v>
      </c>
      <c r="C514" s="23" t="s">
        <v>9</v>
      </c>
      <c r="D514" s="24" t="s">
        <v>30</v>
      </c>
      <c r="E514" s="24" t="s">
        <v>34</v>
      </c>
      <c r="F514" s="18">
        <v>6.0000000000000001E-3</v>
      </c>
      <c r="G514" s="19">
        <v>0.35439999999999999</v>
      </c>
      <c r="H514" s="20"/>
      <c r="I514" s="21">
        <v>0.33839999999999998</v>
      </c>
      <c r="J514" s="20">
        <v>16.541699999999999</v>
      </c>
      <c r="K514" s="20"/>
    </row>
    <row r="515" spans="1:11" ht="14.25" customHeight="1" x14ac:dyDescent="0.2">
      <c r="A515" s="25" t="s">
        <v>781</v>
      </c>
      <c r="B515" s="4" t="s">
        <v>5</v>
      </c>
      <c r="C515" s="4"/>
      <c r="D515" s="5"/>
      <c r="E515" s="5"/>
      <c r="F515" s="10"/>
      <c r="G515" s="11"/>
      <c r="H515" s="12"/>
      <c r="I515" s="13"/>
      <c r="J515" s="12"/>
      <c r="K515" s="12"/>
    </row>
    <row r="516" spans="1:11" ht="15" customHeight="1" x14ac:dyDescent="0.2">
      <c r="A516" s="14" t="s">
        <v>438</v>
      </c>
      <c r="B516" s="15" t="s">
        <v>6</v>
      </c>
      <c r="C516" s="16"/>
      <c r="D516" s="17"/>
      <c r="E516" s="17"/>
      <c r="F516" s="18"/>
      <c r="G516" s="19"/>
      <c r="H516" s="20"/>
      <c r="I516" s="21"/>
      <c r="J516" s="20"/>
      <c r="K516" s="20"/>
    </row>
    <row r="517" spans="1:11" ht="15" customHeight="1" x14ac:dyDescent="0.2">
      <c r="A517" s="22" t="s">
        <v>439</v>
      </c>
      <c r="B517" s="23" t="s">
        <v>8</v>
      </c>
      <c r="C517" s="23" t="s">
        <v>9</v>
      </c>
      <c r="D517" s="24" t="s">
        <v>20</v>
      </c>
      <c r="E517" s="24" t="s">
        <v>24</v>
      </c>
      <c r="F517" s="18"/>
      <c r="G517" s="19"/>
      <c r="H517" s="20"/>
      <c r="I517" s="21"/>
      <c r="J517" s="20"/>
      <c r="K517" s="20"/>
    </row>
    <row r="518" spans="1:11" ht="14.25" customHeight="1" x14ac:dyDescent="0.2">
      <c r="A518" s="25" t="s">
        <v>782</v>
      </c>
      <c r="B518" s="4" t="s">
        <v>5</v>
      </c>
      <c r="C518" s="4"/>
      <c r="D518" s="5"/>
      <c r="E518" s="5"/>
      <c r="F518" s="10"/>
      <c r="G518" s="11"/>
      <c r="H518" s="12">
        <v>9.8000000000000004E-2</v>
      </c>
      <c r="I518" s="13"/>
      <c r="J518" s="12"/>
      <c r="K518" s="12">
        <v>3.3592</v>
      </c>
    </row>
    <row r="519" spans="1:11" ht="15" customHeight="1" x14ac:dyDescent="0.2">
      <c r="A519" s="14" t="s">
        <v>440</v>
      </c>
      <c r="B519" s="15" t="s">
        <v>6</v>
      </c>
      <c r="C519" s="16"/>
      <c r="D519" s="17"/>
      <c r="E519" s="17"/>
      <c r="F519" s="18"/>
      <c r="G519" s="19"/>
      <c r="H519" s="20">
        <v>9.8000000000000004E-2</v>
      </c>
      <c r="I519" s="21"/>
      <c r="J519" s="20"/>
      <c r="K519" s="20">
        <v>3.3592</v>
      </c>
    </row>
    <row r="520" spans="1:11" ht="15" customHeight="1" x14ac:dyDescent="0.2">
      <c r="A520" s="22" t="s">
        <v>824</v>
      </c>
      <c r="B520" s="23" t="s">
        <v>8</v>
      </c>
      <c r="C520" s="23" t="s">
        <v>9</v>
      </c>
      <c r="D520" s="24" t="s">
        <v>20</v>
      </c>
      <c r="E520" s="24" t="s">
        <v>42</v>
      </c>
      <c r="F520" s="18"/>
      <c r="G520" s="19"/>
      <c r="H520" s="20">
        <v>9.8000000000000004E-2</v>
      </c>
      <c r="I520" s="21"/>
      <c r="J520" s="20"/>
      <c r="K520" s="20">
        <v>3.3592</v>
      </c>
    </row>
    <row r="521" spans="1:11" ht="14.25" customHeight="1" x14ac:dyDescent="0.2">
      <c r="A521" s="25" t="s">
        <v>783</v>
      </c>
      <c r="B521" s="4" t="s">
        <v>5</v>
      </c>
      <c r="C521" s="4"/>
      <c r="D521" s="5"/>
      <c r="E521" s="5"/>
      <c r="F521" s="10"/>
      <c r="G521" s="11">
        <v>0.79349999999999998</v>
      </c>
      <c r="H521" s="12">
        <v>0.7298</v>
      </c>
      <c r="I521" s="13"/>
      <c r="J521" s="12">
        <v>47.268799999999999</v>
      </c>
      <c r="K521" s="12">
        <v>43.602699999999999</v>
      </c>
    </row>
    <row r="522" spans="1:11" ht="15" customHeight="1" x14ac:dyDescent="0.2">
      <c r="A522" s="14" t="s">
        <v>441</v>
      </c>
      <c r="B522" s="15" t="s">
        <v>6</v>
      </c>
      <c r="C522" s="16"/>
      <c r="D522" s="17"/>
      <c r="E522" s="17"/>
      <c r="F522" s="18"/>
      <c r="G522" s="19">
        <v>0.79349999999999998</v>
      </c>
      <c r="H522" s="20">
        <v>0.7298</v>
      </c>
      <c r="I522" s="21"/>
      <c r="J522" s="20">
        <v>47.268799999999999</v>
      </c>
      <c r="K522" s="20">
        <v>43.602699999999999</v>
      </c>
    </row>
    <row r="523" spans="1:11" ht="15" customHeight="1" x14ac:dyDescent="0.2">
      <c r="A523" s="22" t="s">
        <v>442</v>
      </c>
      <c r="B523" s="23" t="s">
        <v>8</v>
      </c>
      <c r="C523" s="23" t="s">
        <v>9</v>
      </c>
      <c r="D523" s="24" t="s">
        <v>20</v>
      </c>
      <c r="E523" s="24" t="s">
        <v>21</v>
      </c>
      <c r="F523" s="18"/>
      <c r="G523" s="19"/>
      <c r="H523" s="20"/>
      <c r="I523" s="21"/>
      <c r="J523" s="20"/>
      <c r="K523" s="20"/>
    </row>
    <row r="524" spans="1:11" ht="15" customHeight="1" x14ac:dyDescent="0.2">
      <c r="A524" s="22" t="s">
        <v>443</v>
      </c>
      <c r="B524" s="23" t="s">
        <v>8</v>
      </c>
      <c r="C524" s="23" t="s">
        <v>9</v>
      </c>
      <c r="D524" s="24" t="s">
        <v>10</v>
      </c>
      <c r="E524" s="24" t="s">
        <v>42</v>
      </c>
      <c r="F524" s="18"/>
      <c r="G524" s="19">
        <v>0.79349999999999998</v>
      </c>
      <c r="H524" s="20">
        <v>0.7298</v>
      </c>
      <c r="I524" s="21"/>
      <c r="J524" s="20">
        <v>47.268799999999999</v>
      </c>
      <c r="K524" s="20">
        <v>43.602699999999999</v>
      </c>
    </row>
    <row r="525" spans="1:11" ht="14.25" customHeight="1" x14ac:dyDescent="0.2">
      <c r="A525" s="25" t="s">
        <v>784</v>
      </c>
      <c r="B525" s="4" t="s">
        <v>5</v>
      </c>
      <c r="C525" s="4"/>
      <c r="D525" s="5"/>
      <c r="E525" s="5"/>
      <c r="F525" s="10">
        <v>0.36020000000000002</v>
      </c>
      <c r="G525" s="11">
        <v>5.21E-2</v>
      </c>
      <c r="H525" s="12">
        <v>9.4000000000000004E-3</v>
      </c>
      <c r="I525" s="13">
        <v>19.065100000000001</v>
      </c>
      <c r="J525" s="12">
        <v>2.6206</v>
      </c>
      <c r="K525" s="12">
        <v>0.48</v>
      </c>
    </row>
    <row r="526" spans="1:11" ht="15" customHeight="1" x14ac:dyDescent="0.2">
      <c r="A526" s="14" t="s">
        <v>444</v>
      </c>
      <c r="B526" s="15" t="s">
        <v>6</v>
      </c>
      <c r="C526" s="16"/>
      <c r="D526" s="17"/>
      <c r="E526" s="17"/>
      <c r="F526" s="18">
        <v>0.36020000000000002</v>
      </c>
      <c r="G526" s="19">
        <v>5.21E-2</v>
      </c>
      <c r="H526" s="20">
        <v>9.4000000000000004E-3</v>
      </c>
      <c r="I526" s="21">
        <v>19.065100000000001</v>
      </c>
      <c r="J526" s="20">
        <v>2.6206</v>
      </c>
      <c r="K526" s="20">
        <v>0.48</v>
      </c>
    </row>
    <row r="527" spans="1:11" ht="15" customHeight="1" x14ac:dyDescent="0.2">
      <c r="A527" s="22" t="s">
        <v>445</v>
      </c>
      <c r="B527" s="23" t="s">
        <v>8</v>
      </c>
      <c r="C527" s="23" t="s">
        <v>9</v>
      </c>
      <c r="D527" s="24" t="s">
        <v>20</v>
      </c>
      <c r="E527" s="24" t="s">
        <v>68</v>
      </c>
      <c r="F527" s="18">
        <v>0.36020000000000002</v>
      </c>
      <c r="G527" s="19">
        <v>5.21E-2</v>
      </c>
      <c r="H527" s="20">
        <v>9.4000000000000004E-3</v>
      </c>
      <c r="I527" s="21">
        <v>19.065100000000001</v>
      </c>
      <c r="J527" s="20">
        <v>2.6206</v>
      </c>
      <c r="K527" s="20">
        <v>0.48</v>
      </c>
    </row>
    <row r="528" spans="1:11" ht="14.25" customHeight="1" x14ac:dyDescent="0.2">
      <c r="A528" s="25" t="s">
        <v>785</v>
      </c>
      <c r="B528" s="4" t="s">
        <v>5</v>
      </c>
      <c r="C528" s="4"/>
      <c r="D528" s="5"/>
      <c r="E528" s="5"/>
      <c r="F528" s="10"/>
      <c r="G528" s="11"/>
      <c r="H528" s="12">
        <v>2.0999999999999999E-3</v>
      </c>
      <c r="I528" s="13"/>
      <c r="J528" s="12"/>
      <c r="K528" s="12">
        <v>0.17710000000000001</v>
      </c>
    </row>
    <row r="529" spans="1:11" ht="15" customHeight="1" x14ac:dyDescent="0.2">
      <c r="A529" s="14" t="s">
        <v>446</v>
      </c>
      <c r="B529" s="15" t="s">
        <v>6</v>
      </c>
      <c r="C529" s="16"/>
      <c r="D529" s="17"/>
      <c r="E529" s="17"/>
      <c r="F529" s="18"/>
      <c r="G529" s="19"/>
      <c r="H529" s="20">
        <v>2.0999999999999999E-3</v>
      </c>
      <c r="I529" s="21"/>
      <c r="J529" s="20"/>
      <c r="K529" s="20">
        <v>0.17710000000000001</v>
      </c>
    </row>
    <row r="530" spans="1:11" ht="15" customHeight="1" x14ac:dyDescent="0.2">
      <c r="A530" s="22" t="s">
        <v>447</v>
      </c>
      <c r="B530" s="23" t="s">
        <v>8</v>
      </c>
      <c r="C530" s="23" t="s">
        <v>9</v>
      </c>
      <c r="D530" s="24" t="s">
        <v>20</v>
      </c>
      <c r="E530" s="24" t="s">
        <v>17</v>
      </c>
      <c r="F530" s="18"/>
      <c r="G530" s="19"/>
      <c r="H530" s="20">
        <v>2.0999999999999999E-3</v>
      </c>
      <c r="I530" s="21"/>
      <c r="J530" s="20"/>
      <c r="K530" s="20">
        <v>0.17710000000000001</v>
      </c>
    </row>
    <row r="531" spans="1:11" ht="14.25" customHeight="1" x14ac:dyDescent="0.2">
      <c r="A531" s="25" t="s">
        <v>786</v>
      </c>
      <c r="B531" s="4" t="s">
        <v>5</v>
      </c>
      <c r="C531" s="4"/>
      <c r="D531" s="5"/>
      <c r="E531" s="5"/>
      <c r="F531" s="10">
        <v>2.1507000000000001</v>
      </c>
      <c r="G531" s="11">
        <v>0.15629999999999999</v>
      </c>
      <c r="H531" s="12">
        <v>5.8099999999999999E-2</v>
      </c>
      <c r="I531" s="13">
        <v>55.849800000000002</v>
      </c>
      <c r="J531" s="12">
        <v>3.1030000000000002</v>
      </c>
      <c r="K531" s="12">
        <v>1.1613</v>
      </c>
    </row>
    <row r="532" spans="1:11" ht="15" customHeight="1" x14ac:dyDescent="0.2">
      <c r="A532" s="14" t="s">
        <v>448</v>
      </c>
      <c r="B532" s="15" t="s">
        <v>6</v>
      </c>
      <c r="C532" s="16"/>
      <c r="D532" s="17"/>
      <c r="E532" s="17"/>
      <c r="F532" s="18">
        <v>2.1507000000000001</v>
      </c>
      <c r="G532" s="19">
        <v>0.15629999999999999</v>
      </c>
      <c r="H532" s="20">
        <v>5.8099999999999999E-2</v>
      </c>
      <c r="I532" s="21">
        <v>55.849800000000002</v>
      </c>
      <c r="J532" s="20">
        <v>3.1030000000000002</v>
      </c>
      <c r="K532" s="20">
        <v>1.1613</v>
      </c>
    </row>
    <row r="533" spans="1:11" ht="15" customHeight="1" x14ac:dyDescent="0.2">
      <c r="A533" s="22" t="s">
        <v>449</v>
      </c>
      <c r="B533" s="23" t="s">
        <v>8</v>
      </c>
      <c r="C533" s="23" t="s">
        <v>9</v>
      </c>
      <c r="D533" s="24" t="s">
        <v>30</v>
      </c>
      <c r="E533" s="24" t="s">
        <v>118</v>
      </c>
      <c r="F533" s="18">
        <v>1.4545999999999999</v>
      </c>
      <c r="G533" s="19">
        <v>0.15629999999999999</v>
      </c>
      <c r="H533" s="20">
        <v>5.8099999999999999E-2</v>
      </c>
      <c r="I533" s="21">
        <v>31.957999999999998</v>
      </c>
      <c r="J533" s="20">
        <v>3.1030000000000002</v>
      </c>
      <c r="K533" s="20">
        <v>1.1613</v>
      </c>
    </row>
    <row r="534" spans="1:11" ht="15" customHeight="1" x14ac:dyDescent="0.2">
      <c r="A534" s="22" t="s">
        <v>450</v>
      </c>
      <c r="B534" s="23" t="s">
        <v>8</v>
      </c>
      <c r="C534" s="23" t="s">
        <v>9</v>
      </c>
      <c r="D534" s="24" t="s">
        <v>30</v>
      </c>
      <c r="E534" s="24" t="s">
        <v>42</v>
      </c>
      <c r="F534" s="18">
        <v>0.69610000000000005</v>
      </c>
      <c r="G534" s="19"/>
      <c r="H534" s="20"/>
      <c r="I534" s="21">
        <v>23.8918</v>
      </c>
      <c r="J534" s="20"/>
      <c r="K534" s="20"/>
    </row>
    <row r="535" spans="1:11" ht="14.25" customHeight="1" x14ac:dyDescent="0.2">
      <c r="A535" s="25" t="s">
        <v>787</v>
      </c>
      <c r="B535" s="4" t="s">
        <v>5</v>
      </c>
      <c r="C535" s="4"/>
      <c r="D535" s="5"/>
      <c r="E535" s="5"/>
      <c r="F535" s="10">
        <v>1.4567000000000001</v>
      </c>
      <c r="G535" s="11">
        <v>0.9708</v>
      </c>
      <c r="H535" s="12">
        <v>0.44130000000000003</v>
      </c>
      <c r="I535" s="13">
        <v>8.1128999999999998</v>
      </c>
      <c r="J535" s="12">
        <v>4.8048999999999999</v>
      </c>
      <c r="K535" s="12">
        <v>2.4375</v>
      </c>
    </row>
    <row r="536" spans="1:11" ht="15" customHeight="1" x14ac:dyDescent="0.2">
      <c r="A536" s="14" t="s">
        <v>451</v>
      </c>
      <c r="B536" s="15" t="s">
        <v>6</v>
      </c>
      <c r="C536" s="16"/>
      <c r="D536" s="17"/>
      <c r="E536" s="17"/>
      <c r="F536" s="18">
        <v>1.4567000000000001</v>
      </c>
      <c r="G536" s="19">
        <v>0.9708</v>
      </c>
      <c r="H536" s="20">
        <v>0.44130000000000003</v>
      </c>
      <c r="I536" s="21">
        <v>8.1128999999999998</v>
      </c>
      <c r="J536" s="20">
        <v>4.8048999999999999</v>
      </c>
      <c r="K536" s="20">
        <v>2.4375</v>
      </c>
    </row>
    <row r="537" spans="1:11" ht="15" customHeight="1" x14ac:dyDescent="0.2">
      <c r="A537" s="22" t="s">
        <v>452</v>
      </c>
      <c r="B537" s="23" t="s">
        <v>8</v>
      </c>
      <c r="C537" s="23" t="s">
        <v>9</v>
      </c>
      <c r="D537" s="24" t="s">
        <v>30</v>
      </c>
      <c r="E537" s="24" t="s">
        <v>88</v>
      </c>
      <c r="F537" s="18">
        <v>0.83640000000000003</v>
      </c>
      <c r="G537" s="19">
        <v>0.55679999999999996</v>
      </c>
      <c r="H537" s="20">
        <v>0.16950000000000001</v>
      </c>
      <c r="I537" s="21">
        <v>3.2871000000000001</v>
      </c>
      <c r="J537" s="20">
        <v>1.9970000000000001</v>
      </c>
      <c r="K537" s="20">
        <v>0.75749999999999995</v>
      </c>
    </row>
    <row r="538" spans="1:11" ht="15" customHeight="1" x14ac:dyDescent="0.2">
      <c r="A538" s="22" t="s">
        <v>453</v>
      </c>
      <c r="B538" s="23" t="s">
        <v>8</v>
      </c>
      <c r="C538" s="23" t="s">
        <v>9</v>
      </c>
      <c r="D538" s="24" t="s">
        <v>30</v>
      </c>
      <c r="E538" s="24" t="s">
        <v>103</v>
      </c>
      <c r="F538" s="18">
        <v>1.8599999999999998E-2</v>
      </c>
      <c r="G538" s="19"/>
      <c r="H538" s="20"/>
      <c r="I538" s="21">
        <v>0.14000000000000001</v>
      </c>
      <c r="J538" s="20"/>
      <c r="K538" s="20"/>
    </row>
    <row r="539" spans="1:11" ht="15" customHeight="1" x14ac:dyDescent="0.2">
      <c r="A539" s="22" t="s">
        <v>454</v>
      </c>
      <c r="B539" s="23" t="s">
        <v>8</v>
      </c>
      <c r="C539" s="23" t="s">
        <v>9</v>
      </c>
      <c r="D539" s="24" t="s">
        <v>30</v>
      </c>
      <c r="E539" s="24" t="s">
        <v>103</v>
      </c>
      <c r="F539" s="18">
        <v>0.34599999999999997</v>
      </c>
      <c r="G539" s="19">
        <v>0.3881</v>
      </c>
      <c r="H539" s="20">
        <v>0.2717</v>
      </c>
      <c r="I539" s="21">
        <v>2.4157999999999999</v>
      </c>
      <c r="J539" s="20">
        <v>2.4979</v>
      </c>
      <c r="K539" s="20">
        <v>1.68</v>
      </c>
    </row>
    <row r="540" spans="1:11" ht="15" customHeight="1" x14ac:dyDescent="0.2">
      <c r="A540" s="22" t="s">
        <v>455</v>
      </c>
      <c r="B540" s="23" t="s">
        <v>8</v>
      </c>
      <c r="C540" s="23" t="s">
        <v>9</v>
      </c>
      <c r="D540" s="24" t="s">
        <v>30</v>
      </c>
      <c r="E540" s="24" t="s">
        <v>103</v>
      </c>
      <c r="F540" s="18">
        <v>0.25569999999999998</v>
      </c>
      <c r="G540" s="19">
        <v>2.6200000000000001E-2</v>
      </c>
      <c r="H540" s="20"/>
      <c r="I540" s="21">
        <v>2.27</v>
      </c>
      <c r="J540" s="20">
        <v>0.31</v>
      </c>
      <c r="K540" s="20"/>
    </row>
    <row r="541" spans="1:11" ht="14.25" customHeight="1" x14ac:dyDescent="0.2">
      <c r="A541" s="25" t="s">
        <v>788</v>
      </c>
      <c r="B541" s="4" t="s">
        <v>5</v>
      </c>
      <c r="C541" s="4"/>
      <c r="D541" s="5"/>
      <c r="E541" s="5"/>
      <c r="F541" s="10">
        <v>26.606400000000001</v>
      </c>
      <c r="G541" s="11">
        <v>12.7163</v>
      </c>
      <c r="H541" s="12">
        <v>6.1870000000000003</v>
      </c>
      <c r="I541" s="13">
        <v>773.97839999999997</v>
      </c>
      <c r="J541" s="12">
        <v>348.9753</v>
      </c>
      <c r="K541" s="12">
        <v>165.18170000000001</v>
      </c>
    </row>
    <row r="542" spans="1:11" ht="15" customHeight="1" x14ac:dyDescent="0.2">
      <c r="A542" s="14" t="s">
        <v>456</v>
      </c>
      <c r="B542" s="15" t="s">
        <v>6</v>
      </c>
      <c r="C542" s="16"/>
      <c r="D542" s="17"/>
      <c r="E542" s="17"/>
      <c r="F542" s="18">
        <v>26.606400000000001</v>
      </c>
      <c r="G542" s="19">
        <v>12.7163</v>
      </c>
      <c r="H542" s="20">
        <v>6.1870000000000003</v>
      </c>
      <c r="I542" s="21">
        <v>773.97839999999997</v>
      </c>
      <c r="J542" s="20">
        <v>348.9753</v>
      </c>
      <c r="K542" s="20">
        <v>165.18170000000001</v>
      </c>
    </row>
    <row r="543" spans="1:11" ht="15" customHeight="1" x14ac:dyDescent="0.2">
      <c r="A543" s="22" t="s">
        <v>457</v>
      </c>
      <c r="B543" s="23" t="s">
        <v>8</v>
      </c>
      <c r="C543" s="23" t="s">
        <v>9</v>
      </c>
      <c r="D543" s="24" t="s">
        <v>20</v>
      </c>
      <c r="E543" s="24" t="s">
        <v>99</v>
      </c>
      <c r="F543" s="18">
        <v>4.2514000000000003</v>
      </c>
      <c r="G543" s="19">
        <v>9.5349000000000004</v>
      </c>
      <c r="H543" s="20">
        <v>4.3247999999999998</v>
      </c>
      <c r="I543" s="21">
        <v>118.9742</v>
      </c>
      <c r="J543" s="20">
        <v>264.43900000000002</v>
      </c>
      <c r="K543" s="20">
        <v>116.2043</v>
      </c>
    </row>
    <row r="544" spans="1:11" ht="15" customHeight="1" x14ac:dyDescent="0.2">
      <c r="A544" s="22" t="s">
        <v>458</v>
      </c>
      <c r="B544" s="23" t="s">
        <v>8</v>
      </c>
      <c r="C544" s="23" t="s">
        <v>9</v>
      </c>
      <c r="D544" s="24" t="s">
        <v>20</v>
      </c>
      <c r="E544" s="24" t="s">
        <v>99</v>
      </c>
      <c r="F544" s="18"/>
      <c r="G544" s="19">
        <v>3.1814</v>
      </c>
      <c r="H544" s="20">
        <v>1.8621000000000001</v>
      </c>
      <c r="I544" s="21"/>
      <c r="J544" s="20">
        <v>84.536500000000004</v>
      </c>
      <c r="K544" s="20">
        <v>48.9773</v>
      </c>
    </row>
    <row r="545" spans="1:11" ht="15" customHeight="1" x14ac:dyDescent="0.2">
      <c r="A545" s="22" t="s">
        <v>459</v>
      </c>
      <c r="B545" s="23" t="s">
        <v>8</v>
      </c>
      <c r="C545" s="23" t="s">
        <v>9</v>
      </c>
      <c r="D545" s="24" t="s">
        <v>10</v>
      </c>
      <c r="E545" s="24" t="s">
        <v>99</v>
      </c>
      <c r="F545" s="18">
        <v>9.6434999999999995</v>
      </c>
      <c r="G545" s="19"/>
      <c r="H545" s="20"/>
      <c r="I545" s="21">
        <v>280.5643</v>
      </c>
      <c r="J545" s="20"/>
      <c r="K545" s="20"/>
    </row>
    <row r="546" spans="1:11" ht="15" customHeight="1" x14ac:dyDescent="0.2">
      <c r="A546" s="22" t="s">
        <v>460</v>
      </c>
      <c r="B546" s="23" t="s">
        <v>8</v>
      </c>
      <c r="C546" s="23" t="s">
        <v>9</v>
      </c>
      <c r="D546" s="24" t="s">
        <v>10</v>
      </c>
      <c r="E546" s="24" t="s">
        <v>99</v>
      </c>
      <c r="F546" s="18">
        <v>12.711499999999999</v>
      </c>
      <c r="G546" s="19"/>
      <c r="H546" s="20"/>
      <c r="I546" s="21">
        <v>374.43990000000002</v>
      </c>
      <c r="J546" s="20"/>
      <c r="K546" s="20"/>
    </row>
    <row r="547" spans="1:11" ht="14.25" customHeight="1" x14ac:dyDescent="0.2">
      <c r="A547" s="25" t="s">
        <v>789</v>
      </c>
      <c r="B547" s="4" t="s">
        <v>5</v>
      </c>
      <c r="C547" s="4"/>
      <c r="D547" s="5"/>
      <c r="E547" s="5"/>
      <c r="F547" s="10"/>
      <c r="G547" s="11"/>
      <c r="H547" s="12">
        <v>0.624</v>
      </c>
      <c r="I547" s="13"/>
      <c r="J547" s="12"/>
      <c r="K547" s="12">
        <v>34.035699999999999</v>
      </c>
    </row>
    <row r="548" spans="1:11" ht="15" customHeight="1" x14ac:dyDescent="0.2">
      <c r="A548" s="14" t="s">
        <v>461</v>
      </c>
      <c r="B548" s="15" t="s">
        <v>6</v>
      </c>
      <c r="C548" s="16"/>
      <c r="D548" s="17"/>
      <c r="E548" s="17"/>
      <c r="F548" s="18"/>
      <c r="G548" s="19"/>
      <c r="H548" s="20">
        <v>0.624</v>
      </c>
      <c r="I548" s="21"/>
      <c r="J548" s="20"/>
      <c r="K548" s="20">
        <v>34.035699999999999</v>
      </c>
    </row>
    <row r="549" spans="1:11" ht="15" customHeight="1" x14ac:dyDescent="0.2">
      <c r="A549" s="22" t="s">
        <v>462</v>
      </c>
      <c r="B549" s="23" t="s">
        <v>8</v>
      </c>
      <c r="C549" s="23" t="s">
        <v>9</v>
      </c>
      <c r="D549" s="24" t="s">
        <v>64</v>
      </c>
      <c r="E549" s="24" t="s">
        <v>24</v>
      </c>
      <c r="F549" s="18"/>
      <c r="G549" s="19"/>
      <c r="H549" s="20">
        <v>0.624</v>
      </c>
      <c r="I549" s="21"/>
      <c r="J549" s="20"/>
      <c r="K549" s="20">
        <v>34.035699999999999</v>
      </c>
    </row>
    <row r="550" spans="1:11" ht="14.25" customHeight="1" x14ac:dyDescent="0.2">
      <c r="A550" s="25" t="s">
        <v>790</v>
      </c>
      <c r="B550" s="4" t="s">
        <v>5</v>
      </c>
      <c r="C550" s="4"/>
      <c r="D550" s="5"/>
      <c r="E550" s="5"/>
      <c r="F550" s="10">
        <v>192.72300000000001</v>
      </c>
      <c r="G550" s="11">
        <v>183.24340000000001</v>
      </c>
      <c r="H550" s="12">
        <v>97.209599999999995</v>
      </c>
      <c r="I550" s="13">
        <v>7900.9691000000003</v>
      </c>
      <c r="J550" s="12">
        <v>6838.8454000000002</v>
      </c>
      <c r="K550" s="12">
        <v>3264.5805999999998</v>
      </c>
    </row>
    <row r="551" spans="1:11" ht="15" customHeight="1" x14ac:dyDescent="0.2">
      <c r="A551" s="14" t="s">
        <v>463</v>
      </c>
      <c r="B551" s="15" t="s">
        <v>6</v>
      </c>
      <c r="C551" s="16"/>
      <c r="D551" s="17"/>
      <c r="E551" s="17"/>
      <c r="F551" s="18">
        <v>192.72300000000001</v>
      </c>
      <c r="G551" s="19">
        <v>183.24340000000001</v>
      </c>
      <c r="H551" s="20">
        <v>97.209599999999995</v>
      </c>
      <c r="I551" s="21">
        <v>7900.9691000000003</v>
      </c>
      <c r="J551" s="20">
        <v>6838.8454000000002</v>
      </c>
      <c r="K551" s="20">
        <v>3264.5805999999998</v>
      </c>
    </row>
    <row r="552" spans="1:11" ht="15" customHeight="1" x14ac:dyDescent="0.2">
      <c r="A552" s="22" t="s">
        <v>464</v>
      </c>
      <c r="B552" s="23" t="s">
        <v>8</v>
      </c>
      <c r="C552" s="23" t="s">
        <v>9</v>
      </c>
      <c r="D552" s="24" t="s">
        <v>10</v>
      </c>
      <c r="E552" s="24" t="s">
        <v>37</v>
      </c>
      <c r="F552" s="18">
        <v>192.72300000000001</v>
      </c>
      <c r="G552" s="19">
        <v>183.24340000000001</v>
      </c>
      <c r="H552" s="20">
        <v>97.209599999999995</v>
      </c>
      <c r="I552" s="21">
        <v>7900.9691000000003</v>
      </c>
      <c r="J552" s="20">
        <v>6838.8454000000002</v>
      </c>
      <c r="K552" s="20">
        <v>3264.5805999999998</v>
      </c>
    </row>
    <row r="553" spans="1:11" ht="14.25" customHeight="1" x14ac:dyDescent="0.2">
      <c r="A553" s="25" t="s">
        <v>791</v>
      </c>
      <c r="B553" s="4" t="s">
        <v>5</v>
      </c>
      <c r="C553" s="4"/>
      <c r="D553" s="5"/>
      <c r="E553" s="5"/>
      <c r="F553" s="10">
        <v>1818.5395000000001</v>
      </c>
      <c r="G553" s="11">
        <v>2101.7049999999999</v>
      </c>
      <c r="H553" s="12">
        <v>1233.5607</v>
      </c>
      <c r="I553" s="13">
        <v>45983.127500000002</v>
      </c>
      <c r="J553" s="12">
        <v>53803.2785</v>
      </c>
      <c r="K553" s="12">
        <v>29897.358</v>
      </c>
    </row>
    <row r="554" spans="1:11" ht="15" customHeight="1" x14ac:dyDescent="0.2">
      <c r="A554" s="14" t="s">
        <v>465</v>
      </c>
      <c r="B554" s="15" t="s">
        <v>6</v>
      </c>
      <c r="C554" s="16"/>
      <c r="D554" s="17"/>
      <c r="E554" s="17"/>
      <c r="F554" s="18">
        <v>1818.1666</v>
      </c>
      <c r="G554" s="19">
        <v>2101.6939000000002</v>
      </c>
      <c r="H554" s="20">
        <v>1233.5607</v>
      </c>
      <c r="I554" s="21">
        <v>45975.839</v>
      </c>
      <c r="J554" s="20">
        <v>53803.039499999999</v>
      </c>
      <c r="K554" s="20">
        <v>29897.358</v>
      </c>
    </row>
    <row r="555" spans="1:11" ht="15" customHeight="1" x14ac:dyDescent="0.2">
      <c r="A555" s="22" t="s">
        <v>466</v>
      </c>
      <c r="B555" s="23" t="s">
        <v>8</v>
      </c>
      <c r="C555" s="23" t="s">
        <v>9</v>
      </c>
      <c r="D555" s="24" t="s">
        <v>30</v>
      </c>
      <c r="E555" s="24" t="s">
        <v>376</v>
      </c>
      <c r="F555" s="18">
        <v>6.59E-2</v>
      </c>
      <c r="G555" s="19">
        <v>0.95820000000000005</v>
      </c>
      <c r="H555" s="20"/>
      <c r="I555" s="21">
        <v>0.18509999999999999</v>
      </c>
      <c r="J555" s="20">
        <v>3.0327999999999999</v>
      </c>
      <c r="K555" s="20"/>
    </row>
    <row r="556" spans="1:11" ht="15" customHeight="1" x14ac:dyDescent="0.2">
      <c r="A556" s="22" t="s">
        <v>467</v>
      </c>
      <c r="B556" s="23" t="s">
        <v>8</v>
      </c>
      <c r="C556" s="23" t="s">
        <v>9</v>
      </c>
      <c r="D556" s="24" t="s">
        <v>30</v>
      </c>
      <c r="E556" s="24" t="s">
        <v>376</v>
      </c>
      <c r="F556" s="18">
        <v>5.1000000000000004E-3</v>
      </c>
      <c r="G556" s="19">
        <v>0.40570000000000001</v>
      </c>
      <c r="H556" s="20"/>
      <c r="I556" s="21">
        <v>1.37E-2</v>
      </c>
      <c r="J556" s="20">
        <v>1.3527</v>
      </c>
      <c r="K556" s="20"/>
    </row>
    <row r="557" spans="1:11" ht="15" customHeight="1" x14ac:dyDescent="0.2">
      <c r="A557" s="22" t="s">
        <v>468</v>
      </c>
      <c r="B557" s="23" t="s">
        <v>8</v>
      </c>
      <c r="C557" s="23" t="s">
        <v>9</v>
      </c>
      <c r="D557" s="24" t="s">
        <v>30</v>
      </c>
      <c r="E557" s="24" t="s">
        <v>376</v>
      </c>
      <c r="F557" s="18">
        <v>0.1182</v>
      </c>
      <c r="G557" s="19">
        <v>1.0884</v>
      </c>
      <c r="H557" s="20"/>
      <c r="I557" s="21">
        <v>0.31890000000000002</v>
      </c>
      <c r="J557" s="20">
        <v>3.3033999999999999</v>
      </c>
      <c r="K557" s="20"/>
    </row>
    <row r="558" spans="1:11" ht="15" customHeight="1" x14ac:dyDescent="0.2">
      <c r="A558" s="22" t="s">
        <v>469</v>
      </c>
      <c r="B558" s="23" t="s">
        <v>8</v>
      </c>
      <c r="C558" s="23" t="s">
        <v>9</v>
      </c>
      <c r="D558" s="24" t="s">
        <v>64</v>
      </c>
      <c r="E558" s="24" t="s">
        <v>376</v>
      </c>
      <c r="F558" s="18">
        <v>0.87180000000000002</v>
      </c>
      <c r="G558" s="19">
        <v>4.3999999999999997E-2</v>
      </c>
      <c r="H558" s="20"/>
      <c r="I558" s="21">
        <v>8.5823999999999998</v>
      </c>
      <c r="J558" s="20">
        <v>0.58599999999999997</v>
      </c>
      <c r="K558" s="20"/>
    </row>
    <row r="559" spans="1:11" ht="15" customHeight="1" x14ac:dyDescent="0.2">
      <c r="A559" s="22" t="s">
        <v>470</v>
      </c>
      <c r="B559" s="23" t="s">
        <v>8</v>
      </c>
      <c r="C559" s="23" t="s">
        <v>9</v>
      </c>
      <c r="D559" s="24" t="s">
        <v>64</v>
      </c>
      <c r="E559" s="24" t="s">
        <v>376</v>
      </c>
      <c r="F559" s="18">
        <v>5.4508000000000001</v>
      </c>
      <c r="G559" s="19">
        <v>2.1189</v>
      </c>
      <c r="H559" s="20">
        <v>0.77749999999999997</v>
      </c>
      <c r="I559" s="21">
        <v>70.866600000000005</v>
      </c>
      <c r="J559" s="20">
        <v>26.7118</v>
      </c>
      <c r="K559" s="20">
        <v>8.9403000000000006</v>
      </c>
    </row>
    <row r="560" spans="1:11" ht="15" customHeight="1" x14ac:dyDescent="0.2">
      <c r="A560" s="22" t="s">
        <v>471</v>
      </c>
      <c r="B560" s="23" t="s">
        <v>8</v>
      </c>
      <c r="C560" s="23" t="s">
        <v>9</v>
      </c>
      <c r="D560" s="24" t="s">
        <v>64</v>
      </c>
      <c r="E560" s="24" t="s">
        <v>376</v>
      </c>
      <c r="F560" s="18"/>
      <c r="G560" s="19"/>
      <c r="H560" s="20"/>
      <c r="I560" s="21"/>
      <c r="J560" s="20"/>
      <c r="K560" s="20"/>
    </row>
    <row r="561" spans="1:11" ht="15" customHeight="1" x14ac:dyDescent="0.2">
      <c r="A561" s="22" t="s">
        <v>472</v>
      </c>
      <c r="B561" s="23" t="s">
        <v>8</v>
      </c>
      <c r="C561" s="23" t="s">
        <v>9</v>
      </c>
      <c r="D561" s="24" t="s">
        <v>30</v>
      </c>
      <c r="E561" s="24" t="s">
        <v>118</v>
      </c>
      <c r="F561" s="18">
        <v>9.06E-2</v>
      </c>
      <c r="G561" s="19"/>
      <c r="H561" s="20"/>
      <c r="I561" s="21">
        <v>1.3372999999999999</v>
      </c>
      <c r="J561" s="20"/>
      <c r="K561" s="20"/>
    </row>
    <row r="562" spans="1:11" ht="15" customHeight="1" x14ac:dyDescent="0.2">
      <c r="A562" s="22" t="s">
        <v>473</v>
      </c>
      <c r="B562" s="23" t="s">
        <v>8</v>
      </c>
      <c r="C562" s="23" t="s">
        <v>9</v>
      </c>
      <c r="D562" s="24" t="s">
        <v>10</v>
      </c>
      <c r="E562" s="24" t="s">
        <v>474</v>
      </c>
      <c r="F562" s="18">
        <v>1.3827</v>
      </c>
      <c r="G562" s="19">
        <v>0.7681</v>
      </c>
      <c r="H562" s="20">
        <v>2.3199999999999998E-2</v>
      </c>
      <c r="I562" s="21">
        <v>23.328099999999999</v>
      </c>
      <c r="J562" s="20">
        <v>13.2523</v>
      </c>
      <c r="K562" s="20">
        <v>0.52669999999999995</v>
      </c>
    </row>
    <row r="563" spans="1:11" ht="15" customHeight="1" x14ac:dyDescent="0.2">
      <c r="A563" s="22" t="s">
        <v>475</v>
      </c>
      <c r="B563" s="23" t="s">
        <v>8</v>
      </c>
      <c r="C563" s="23" t="s">
        <v>9</v>
      </c>
      <c r="D563" s="24" t="s">
        <v>30</v>
      </c>
      <c r="E563" s="24" t="s">
        <v>476</v>
      </c>
      <c r="F563" s="18"/>
      <c r="G563" s="19"/>
      <c r="H563" s="20">
        <v>20.740400000000001</v>
      </c>
      <c r="I563" s="21"/>
      <c r="J563" s="20"/>
      <c r="K563" s="20">
        <v>310.0301</v>
      </c>
    </row>
    <row r="564" spans="1:11" ht="15" customHeight="1" x14ac:dyDescent="0.2">
      <c r="A564" s="22" t="s">
        <v>477</v>
      </c>
      <c r="B564" s="23" t="s">
        <v>8</v>
      </c>
      <c r="C564" s="23" t="s">
        <v>9</v>
      </c>
      <c r="D564" s="24" t="s">
        <v>30</v>
      </c>
      <c r="E564" s="24" t="s">
        <v>476</v>
      </c>
      <c r="F564" s="18"/>
      <c r="G564" s="19"/>
      <c r="H564" s="20">
        <v>1.2435</v>
      </c>
      <c r="I564" s="21"/>
      <c r="J564" s="20"/>
      <c r="K564" s="20">
        <v>17.1813</v>
      </c>
    </row>
    <row r="565" spans="1:11" ht="15" customHeight="1" x14ac:dyDescent="0.2">
      <c r="A565" s="22" t="s">
        <v>478</v>
      </c>
      <c r="B565" s="23" t="s">
        <v>8</v>
      </c>
      <c r="C565" s="23" t="s">
        <v>9</v>
      </c>
      <c r="D565" s="24" t="s">
        <v>30</v>
      </c>
      <c r="E565" s="24" t="s">
        <v>476</v>
      </c>
      <c r="F565" s="18">
        <v>4.0780000000000003</v>
      </c>
      <c r="G565" s="19">
        <v>35.126199999999997</v>
      </c>
      <c r="H565" s="20">
        <v>26.273900000000001</v>
      </c>
      <c r="I565" s="21">
        <v>71.718599999999995</v>
      </c>
      <c r="J565" s="20">
        <v>592.5693</v>
      </c>
      <c r="K565" s="20">
        <v>441.30500000000001</v>
      </c>
    </row>
    <row r="566" spans="1:11" ht="15" customHeight="1" x14ac:dyDescent="0.2">
      <c r="A566" s="22" t="s">
        <v>479</v>
      </c>
      <c r="B566" s="23" t="s">
        <v>8</v>
      </c>
      <c r="C566" s="23" t="s">
        <v>9</v>
      </c>
      <c r="D566" s="24" t="s">
        <v>30</v>
      </c>
      <c r="E566" s="24" t="s">
        <v>476</v>
      </c>
      <c r="F566" s="18">
        <v>264.06810000000002</v>
      </c>
      <c r="G566" s="19">
        <v>329.44319999999999</v>
      </c>
      <c r="H566" s="20">
        <v>205.9486</v>
      </c>
      <c r="I566" s="21">
        <v>3958.0279</v>
      </c>
      <c r="J566" s="20">
        <v>5113.9928</v>
      </c>
      <c r="K566" s="20">
        <v>2876.5592000000001</v>
      </c>
    </row>
    <row r="567" spans="1:11" ht="15" customHeight="1" x14ac:dyDescent="0.2">
      <c r="A567" s="22" t="s">
        <v>480</v>
      </c>
      <c r="B567" s="23" t="s">
        <v>8</v>
      </c>
      <c r="C567" s="23" t="s">
        <v>9</v>
      </c>
      <c r="D567" s="24" t="s">
        <v>64</v>
      </c>
      <c r="E567" s="24" t="s">
        <v>15</v>
      </c>
      <c r="F567" s="18"/>
      <c r="G567" s="19"/>
      <c r="H567" s="20"/>
      <c r="I567" s="21"/>
      <c r="J567" s="20"/>
      <c r="K567" s="20"/>
    </row>
    <row r="568" spans="1:11" ht="15" customHeight="1" x14ac:dyDescent="0.2">
      <c r="A568" s="22" t="s">
        <v>481</v>
      </c>
      <c r="B568" s="23" t="s">
        <v>8</v>
      </c>
      <c r="C568" s="23" t="s">
        <v>9</v>
      </c>
      <c r="D568" s="24" t="s">
        <v>30</v>
      </c>
      <c r="E568" s="24" t="s">
        <v>256</v>
      </c>
      <c r="F568" s="18">
        <v>8.5046999999999997</v>
      </c>
      <c r="G568" s="19">
        <v>12.872299999999999</v>
      </c>
      <c r="H568" s="20">
        <v>4.3821000000000003</v>
      </c>
      <c r="I568" s="21">
        <v>194.4057</v>
      </c>
      <c r="J568" s="20">
        <v>338.25259999999997</v>
      </c>
      <c r="K568" s="20">
        <v>110.48520000000001</v>
      </c>
    </row>
    <row r="569" spans="1:11" ht="15" customHeight="1" x14ac:dyDescent="0.2">
      <c r="A569" s="22" t="s">
        <v>482</v>
      </c>
      <c r="B569" s="23" t="s">
        <v>8</v>
      </c>
      <c r="C569" s="23" t="s">
        <v>9</v>
      </c>
      <c r="D569" s="24" t="s">
        <v>30</v>
      </c>
      <c r="E569" s="24" t="s">
        <v>256</v>
      </c>
      <c r="F569" s="18">
        <v>171.4581</v>
      </c>
      <c r="G569" s="19">
        <v>146.56880000000001</v>
      </c>
      <c r="H569" s="20">
        <v>94.527100000000004</v>
      </c>
      <c r="I569" s="21">
        <v>5827.8176999999996</v>
      </c>
      <c r="J569" s="20">
        <v>5036.4476000000004</v>
      </c>
      <c r="K569" s="20">
        <v>3121.8564000000001</v>
      </c>
    </row>
    <row r="570" spans="1:11" ht="15" customHeight="1" x14ac:dyDescent="0.2">
      <c r="A570" s="22" t="s">
        <v>483</v>
      </c>
      <c r="B570" s="23" t="s">
        <v>8</v>
      </c>
      <c r="C570" s="23" t="s">
        <v>9</v>
      </c>
      <c r="D570" s="24" t="s">
        <v>30</v>
      </c>
      <c r="E570" s="24" t="s">
        <v>256</v>
      </c>
      <c r="F570" s="18">
        <v>195.73400000000001</v>
      </c>
      <c r="G570" s="19">
        <v>242.5813</v>
      </c>
      <c r="H570" s="20">
        <v>163.20820000000001</v>
      </c>
      <c r="I570" s="21">
        <v>3936.1988000000001</v>
      </c>
      <c r="J570" s="20">
        <v>5003.2757000000001</v>
      </c>
      <c r="K570" s="20">
        <v>3062.0891000000001</v>
      </c>
    </row>
    <row r="571" spans="1:11" ht="15" customHeight="1" x14ac:dyDescent="0.2">
      <c r="A571" s="22" t="s">
        <v>484</v>
      </c>
      <c r="B571" s="23" t="s">
        <v>8</v>
      </c>
      <c r="C571" s="23" t="s">
        <v>9</v>
      </c>
      <c r="D571" s="24" t="s">
        <v>30</v>
      </c>
      <c r="E571" s="24" t="s">
        <v>256</v>
      </c>
      <c r="F571" s="18">
        <v>0.2492</v>
      </c>
      <c r="G571" s="19">
        <v>5.8500000000000003E-2</v>
      </c>
      <c r="H571" s="20"/>
      <c r="I571" s="21">
        <v>4.6970000000000001</v>
      </c>
      <c r="J571" s="20">
        <v>1.1557999999999999</v>
      </c>
      <c r="K571" s="20"/>
    </row>
    <row r="572" spans="1:11" ht="15" customHeight="1" x14ac:dyDescent="0.2">
      <c r="A572" s="22" t="s">
        <v>485</v>
      </c>
      <c r="B572" s="23" t="s">
        <v>8</v>
      </c>
      <c r="C572" s="23" t="s">
        <v>9</v>
      </c>
      <c r="D572" s="24" t="s">
        <v>30</v>
      </c>
      <c r="E572" s="24" t="s">
        <v>256</v>
      </c>
      <c r="F572" s="18">
        <v>0.97950000000000004</v>
      </c>
      <c r="G572" s="19"/>
      <c r="H572" s="20"/>
      <c r="I572" s="21">
        <v>23.239000000000001</v>
      </c>
      <c r="J572" s="20"/>
      <c r="K572" s="20"/>
    </row>
    <row r="573" spans="1:11" ht="15" customHeight="1" x14ac:dyDescent="0.2">
      <c r="A573" s="22" t="s">
        <v>486</v>
      </c>
      <c r="B573" s="23" t="s">
        <v>8</v>
      </c>
      <c r="C573" s="23" t="s">
        <v>9</v>
      </c>
      <c r="D573" s="24" t="s">
        <v>30</v>
      </c>
      <c r="E573" s="24" t="s">
        <v>256</v>
      </c>
      <c r="F573" s="18">
        <v>1.0518000000000001</v>
      </c>
      <c r="G573" s="19"/>
      <c r="H573" s="20"/>
      <c r="I573" s="21">
        <v>15.4772</v>
      </c>
      <c r="J573" s="20"/>
      <c r="K573" s="20"/>
    </row>
    <row r="574" spans="1:11" ht="15" customHeight="1" x14ac:dyDescent="0.2">
      <c r="A574" s="22" t="s">
        <v>487</v>
      </c>
      <c r="B574" s="23" t="s">
        <v>8</v>
      </c>
      <c r="C574" s="23" t="s">
        <v>9</v>
      </c>
      <c r="D574" s="24" t="s">
        <v>30</v>
      </c>
      <c r="E574" s="24" t="s">
        <v>256</v>
      </c>
      <c r="F574" s="18">
        <v>1.23</v>
      </c>
      <c r="G574" s="19">
        <v>5.5100000000000003E-2</v>
      </c>
      <c r="H574" s="20"/>
      <c r="I574" s="21">
        <v>22.518699999999999</v>
      </c>
      <c r="J574" s="20">
        <v>1.0911</v>
      </c>
      <c r="K574" s="20"/>
    </row>
    <row r="575" spans="1:11" ht="15" customHeight="1" x14ac:dyDescent="0.2">
      <c r="A575" s="22" t="s">
        <v>488</v>
      </c>
      <c r="B575" s="23" t="s">
        <v>8</v>
      </c>
      <c r="C575" s="23" t="s">
        <v>9</v>
      </c>
      <c r="D575" s="24" t="s">
        <v>30</v>
      </c>
      <c r="E575" s="24" t="s">
        <v>256</v>
      </c>
      <c r="F575" s="18">
        <v>0.64070000000000005</v>
      </c>
      <c r="G575" s="19"/>
      <c r="H575" s="20"/>
      <c r="I575" s="21">
        <v>15.170299999999999</v>
      </c>
      <c r="J575" s="20"/>
      <c r="K575" s="20"/>
    </row>
    <row r="576" spans="1:11" ht="15" customHeight="1" x14ac:dyDescent="0.2">
      <c r="A576" s="22" t="s">
        <v>489</v>
      </c>
      <c r="B576" s="23" t="s">
        <v>8</v>
      </c>
      <c r="C576" s="23" t="s">
        <v>9</v>
      </c>
      <c r="D576" s="24" t="s">
        <v>30</v>
      </c>
      <c r="E576" s="24" t="s">
        <v>256</v>
      </c>
      <c r="F576" s="18">
        <v>0.8125</v>
      </c>
      <c r="G576" s="19">
        <v>2.2100000000000002E-2</v>
      </c>
      <c r="H576" s="20"/>
      <c r="I576" s="21">
        <v>14.451000000000001</v>
      </c>
      <c r="J576" s="20">
        <v>0.38290000000000002</v>
      </c>
      <c r="K576" s="20"/>
    </row>
    <row r="577" spans="1:11" ht="15" customHeight="1" x14ac:dyDescent="0.2">
      <c r="A577" s="22" t="s">
        <v>490</v>
      </c>
      <c r="B577" s="23" t="s">
        <v>8</v>
      </c>
      <c r="C577" s="23" t="s">
        <v>9</v>
      </c>
      <c r="D577" s="24" t="s">
        <v>30</v>
      </c>
      <c r="E577" s="24" t="s">
        <v>256</v>
      </c>
      <c r="F577" s="18">
        <v>0.40889999999999999</v>
      </c>
      <c r="G577" s="19">
        <v>7.7899999999999997E-2</v>
      </c>
      <c r="H577" s="20"/>
      <c r="I577" s="21">
        <v>9.6999999999999993</v>
      </c>
      <c r="J577" s="20">
        <v>1.9962</v>
      </c>
      <c r="K577" s="20"/>
    </row>
    <row r="578" spans="1:11" ht="15" customHeight="1" x14ac:dyDescent="0.2">
      <c r="A578" s="22" t="s">
        <v>491</v>
      </c>
      <c r="B578" s="23" t="s">
        <v>8</v>
      </c>
      <c r="C578" s="23" t="s">
        <v>9</v>
      </c>
      <c r="D578" s="24" t="s">
        <v>30</v>
      </c>
      <c r="E578" s="24" t="s">
        <v>256</v>
      </c>
      <c r="F578" s="18">
        <v>1.716</v>
      </c>
      <c r="G578" s="19"/>
      <c r="H578" s="20"/>
      <c r="I578" s="21">
        <v>43.815600000000003</v>
      </c>
      <c r="J578" s="20"/>
      <c r="K578" s="20"/>
    </row>
    <row r="579" spans="1:11" ht="15" customHeight="1" x14ac:dyDescent="0.2">
      <c r="A579" s="22" t="s">
        <v>492</v>
      </c>
      <c r="B579" s="23" t="s">
        <v>8</v>
      </c>
      <c r="C579" s="23" t="s">
        <v>9</v>
      </c>
      <c r="D579" s="24" t="s">
        <v>30</v>
      </c>
      <c r="E579" s="24" t="s">
        <v>256</v>
      </c>
      <c r="F579" s="18">
        <v>0.17050000000000001</v>
      </c>
      <c r="G579" s="19">
        <v>7.7700000000000005E-2</v>
      </c>
      <c r="H579" s="20"/>
      <c r="I579" s="21">
        <v>3.5674000000000001</v>
      </c>
      <c r="J579" s="20">
        <v>1.7087000000000001</v>
      </c>
      <c r="K579" s="20"/>
    </row>
    <row r="580" spans="1:11" ht="15" customHeight="1" x14ac:dyDescent="0.2">
      <c r="A580" s="22" t="s">
        <v>493</v>
      </c>
      <c r="B580" s="23" t="s">
        <v>8</v>
      </c>
      <c r="C580" s="23" t="s">
        <v>9</v>
      </c>
      <c r="D580" s="24" t="s">
        <v>30</v>
      </c>
      <c r="E580" s="24" t="s">
        <v>256</v>
      </c>
      <c r="F580" s="18">
        <v>1.5501</v>
      </c>
      <c r="G580" s="19">
        <v>0.42659999999999998</v>
      </c>
      <c r="H580" s="20">
        <v>0.12859999999999999</v>
      </c>
      <c r="I580" s="21">
        <v>28.959800000000001</v>
      </c>
      <c r="J580" s="20">
        <v>8.7736999999999998</v>
      </c>
      <c r="K580" s="20">
        <v>2.5320999999999998</v>
      </c>
    </row>
    <row r="581" spans="1:11" ht="15" customHeight="1" x14ac:dyDescent="0.2">
      <c r="A581" s="22" t="s">
        <v>494</v>
      </c>
      <c r="B581" s="23" t="s">
        <v>8</v>
      </c>
      <c r="C581" s="23" t="s">
        <v>9</v>
      </c>
      <c r="D581" s="24" t="s">
        <v>30</v>
      </c>
      <c r="E581" s="24" t="s">
        <v>256</v>
      </c>
      <c r="F581" s="18">
        <v>0.83640000000000003</v>
      </c>
      <c r="G581" s="19">
        <v>0.51139999999999997</v>
      </c>
      <c r="H581" s="20"/>
      <c r="I581" s="21">
        <v>18.6389</v>
      </c>
      <c r="J581" s="20">
        <v>9.5508000000000006</v>
      </c>
      <c r="K581" s="20"/>
    </row>
    <row r="582" spans="1:11" ht="15" customHeight="1" x14ac:dyDescent="0.2">
      <c r="A582" s="22" t="s">
        <v>495</v>
      </c>
      <c r="B582" s="23" t="s">
        <v>8</v>
      </c>
      <c r="C582" s="23" t="s">
        <v>9</v>
      </c>
      <c r="D582" s="24" t="s">
        <v>30</v>
      </c>
      <c r="E582" s="24" t="s">
        <v>256</v>
      </c>
      <c r="F582" s="18">
        <v>0.72089999999999999</v>
      </c>
      <c r="G582" s="19"/>
      <c r="H582" s="20"/>
      <c r="I582" s="21">
        <v>9.8262</v>
      </c>
      <c r="J582" s="20"/>
      <c r="K582" s="20"/>
    </row>
    <row r="583" spans="1:11" ht="15" customHeight="1" x14ac:dyDescent="0.2">
      <c r="A583" s="22" t="s">
        <v>496</v>
      </c>
      <c r="B583" s="23" t="s">
        <v>8</v>
      </c>
      <c r="C583" s="23" t="s">
        <v>9</v>
      </c>
      <c r="D583" s="24" t="s">
        <v>30</v>
      </c>
      <c r="E583" s="24" t="s">
        <v>256</v>
      </c>
      <c r="F583" s="18">
        <v>0.48470000000000002</v>
      </c>
      <c r="G583" s="19"/>
      <c r="H583" s="20"/>
      <c r="I583" s="21">
        <v>10.088699999999999</v>
      </c>
      <c r="J583" s="20"/>
      <c r="K583" s="20"/>
    </row>
    <row r="584" spans="1:11" ht="15" customHeight="1" x14ac:dyDescent="0.2">
      <c r="A584" s="22" t="s">
        <v>497</v>
      </c>
      <c r="B584" s="23" t="s">
        <v>8</v>
      </c>
      <c r="C584" s="23" t="s">
        <v>9</v>
      </c>
      <c r="D584" s="24" t="s">
        <v>30</v>
      </c>
      <c r="E584" s="24" t="s">
        <v>256</v>
      </c>
      <c r="F584" s="18">
        <v>1.3634999999999999</v>
      </c>
      <c r="G584" s="19">
        <v>2.1999999999999999E-2</v>
      </c>
      <c r="H584" s="20"/>
      <c r="I584" s="21">
        <v>21.971299999999999</v>
      </c>
      <c r="J584" s="20">
        <v>0.34660000000000002</v>
      </c>
      <c r="K584" s="20"/>
    </row>
    <row r="585" spans="1:11" ht="15" customHeight="1" x14ac:dyDescent="0.2">
      <c r="A585" s="22" t="s">
        <v>498</v>
      </c>
      <c r="B585" s="23" t="s">
        <v>8</v>
      </c>
      <c r="C585" s="23" t="s">
        <v>9</v>
      </c>
      <c r="D585" s="24" t="s">
        <v>30</v>
      </c>
      <c r="E585" s="24" t="s">
        <v>256</v>
      </c>
      <c r="F585" s="18">
        <v>0.2001</v>
      </c>
      <c r="G585" s="19"/>
      <c r="H585" s="20"/>
      <c r="I585" s="21">
        <v>3.1530999999999998</v>
      </c>
      <c r="J585" s="20"/>
      <c r="K585" s="20"/>
    </row>
    <row r="586" spans="1:11" ht="15" customHeight="1" x14ac:dyDescent="0.2">
      <c r="A586" s="22" t="s">
        <v>499</v>
      </c>
      <c r="B586" s="23" t="s">
        <v>8</v>
      </c>
      <c r="C586" s="23" t="s">
        <v>9</v>
      </c>
      <c r="D586" s="24" t="s">
        <v>30</v>
      </c>
      <c r="E586" s="24" t="s">
        <v>256</v>
      </c>
      <c r="F586" s="18">
        <v>0.30409999999999998</v>
      </c>
      <c r="G586" s="19"/>
      <c r="H586" s="20"/>
      <c r="I586" s="21">
        <v>4.4311999999999996</v>
      </c>
      <c r="J586" s="20"/>
      <c r="K586" s="20"/>
    </row>
    <row r="587" spans="1:11" ht="15" customHeight="1" x14ac:dyDescent="0.2">
      <c r="A587" s="22" t="s">
        <v>500</v>
      </c>
      <c r="B587" s="23" t="s">
        <v>8</v>
      </c>
      <c r="C587" s="23" t="s">
        <v>9</v>
      </c>
      <c r="D587" s="24" t="s">
        <v>30</v>
      </c>
      <c r="E587" s="24" t="s">
        <v>256</v>
      </c>
      <c r="F587" s="18">
        <v>1.4756</v>
      </c>
      <c r="G587" s="19">
        <v>0.29549999999999998</v>
      </c>
      <c r="H587" s="20">
        <v>0.13869999999999999</v>
      </c>
      <c r="I587" s="21">
        <v>38.575499999999998</v>
      </c>
      <c r="J587" s="20">
        <v>5.6929999999999996</v>
      </c>
      <c r="K587" s="20">
        <v>2.5320999999999998</v>
      </c>
    </row>
    <row r="588" spans="1:11" ht="15" customHeight="1" x14ac:dyDescent="0.2">
      <c r="A588" s="22" t="s">
        <v>501</v>
      </c>
      <c r="B588" s="23" t="s">
        <v>8</v>
      </c>
      <c r="C588" s="23" t="s">
        <v>9</v>
      </c>
      <c r="D588" s="24" t="s">
        <v>30</v>
      </c>
      <c r="E588" s="24" t="s">
        <v>256</v>
      </c>
      <c r="F588" s="18">
        <v>0.92279999999999995</v>
      </c>
      <c r="G588" s="19"/>
      <c r="H588" s="20"/>
      <c r="I588" s="21">
        <v>21.822199999999999</v>
      </c>
      <c r="J588" s="20"/>
      <c r="K588" s="20"/>
    </row>
    <row r="589" spans="1:11" ht="15" customHeight="1" x14ac:dyDescent="0.2">
      <c r="A589" s="22" t="s">
        <v>502</v>
      </c>
      <c r="B589" s="23" t="s">
        <v>8</v>
      </c>
      <c r="C589" s="23" t="s">
        <v>9</v>
      </c>
      <c r="D589" s="24" t="s">
        <v>30</v>
      </c>
      <c r="E589" s="24" t="s">
        <v>256</v>
      </c>
      <c r="F589" s="18">
        <v>105.723</v>
      </c>
      <c r="G589" s="19">
        <v>231.39109999999999</v>
      </c>
      <c r="H589" s="20">
        <v>190.30779999999999</v>
      </c>
      <c r="I589" s="21">
        <v>3632.1455999999998</v>
      </c>
      <c r="J589" s="20">
        <v>7878.6941999999999</v>
      </c>
      <c r="K589" s="20">
        <v>6167.0902999999998</v>
      </c>
    </row>
    <row r="590" spans="1:11" ht="15" customHeight="1" x14ac:dyDescent="0.2">
      <c r="A590" s="22" t="s">
        <v>503</v>
      </c>
      <c r="B590" s="23" t="s">
        <v>8</v>
      </c>
      <c r="C590" s="23" t="s">
        <v>9</v>
      </c>
      <c r="D590" s="24" t="s">
        <v>30</v>
      </c>
      <c r="E590" s="24" t="s">
        <v>256</v>
      </c>
      <c r="F590" s="18">
        <v>0.97140000000000004</v>
      </c>
      <c r="G590" s="19">
        <v>3.1E-2</v>
      </c>
      <c r="H590" s="20"/>
      <c r="I590" s="21">
        <v>22.952100000000002</v>
      </c>
      <c r="J590" s="20">
        <v>0.70540000000000003</v>
      </c>
      <c r="K590" s="20"/>
    </row>
    <row r="591" spans="1:11" ht="15" customHeight="1" x14ac:dyDescent="0.2">
      <c r="A591" s="22" t="s">
        <v>504</v>
      </c>
      <c r="B591" s="23" t="s">
        <v>8</v>
      </c>
      <c r="C591" s="23" t="s">
        <v>9</v>
      </c>
      <c r="D591" s="24" t="s">
        <v>30</v>
      </c>
      <c r="E591" s="24" t="s">
        <v>256</v>
      </c>
      <c r="F591" s="18">
        <v>0.23680000000000001</v>
      </c>
      <c r="G591" s="19"/>
      <c r="H591" s="20"/>
      <c r="I591" s="21">
        <v>4.3052000000000001</v>
      </c>
      <c r="J591" s="20"/>
      <c r="K591" s="20"/>
    </row>
    <row r="592" spans="1:11" ht="15" customHeight="1" x14ac:dyDescent="0.2">
      <c r="A592" s="22" t="s">
        <v>505</v>
      </c>
      <c r="B592" s="23" t="s">
        <v>8</v>
      </c>
      <c r="C592" s="23" t="s">
        <v>9</v>
      </c>
      <c r="D592" s="24" t="s">
        <v>64</v>
      </c>
      <c r="E592" s="24" t="s">
        <v>256</v>
      </c>
      <c r="F592" s="18">
        <v>40.155500000000004</v>
      </c>
      <c r="G592" s="19">
        <v>53.039099999999998</v>
      </c>
      <c r="H592" s="20">
        <v>19.640599999999999</v>
      </c>
      <c r="I592" s="21">
        <v>809.24120000000005</v>
      </c>
      <c r="J592" s="20">
        <v>1117.5988</v>
      </c>
      <c r="K592" s="20">
        <v>353.57029999999997</v>
      </c>
    </row>
    <row r="593" spans="1:11" ht="15" customHeight="1" x14ac:dyDescent="0.2">
      <c r="A593" s="22" t="s">
        <v>506</v>
      </c>
      <c r="B593" s="23" t="s">
        <v>8</v>
      </c>
      <c r="C593" s="23" t="s">
        <v>9</v>
      </c>
      <c r="D593" s="24" t="s">
        <v>64</v>
      </c>
      <c r="E593" s="24" t="s">
        <v>256</v>
      </c>
      <c r="F593" s="18">
        <v>124.0141</v>
      </c>
      <c r="G593" s="19">
        <v>119.1621</v>
      </c>
      <c r="H593" s="20">
        <v>72.991100000000003</v>
      </c>
      <c r="I593" s="21">
        <v>4179.8078999999998</v>
      </c>
      <c r="J593" s="20">
        <v>4057.9854</v>
      </c>
      <c r="K593" s="20">
        <v>2439.5360000000001</v>
      </c>
    </row>
    <row r="594" spans="1:11" ht="15" customHeight="1" x14ac:dyDescent="0.2">
      <c r="A594" s="22" t="s">
        <v>507</v>
      </c>
      <c r="B594" s="23" t="s">
        <v>8</v>
      </c>
      <c r="C594" s="23" t="s">
        <v>9</v>
      </c>
      <c r="D594" s="24" t="s">
        <v>64</v>
      </c>
      <c r="E594" s="24" t="s">
        <v>256</v>
      </c>
      <c r="F594" s="18">
        <v>126.2456</v>
      </c>
      <c r="G594" s="19">
        <v>161.7927</v>
      </c>
      <c r="H594" s="20">
        <v>82.616799999999998</v>
      </c>
      <c r="I594" s="21">
        <v>2585.6873000000001</v>
      </c>
      <c r="J594" s="20">
        <v>3416.431</v>
      </c>
      <c r="K594" s="20">
        <v>1611.8206</v>
      </c>
    </row>
    <row r="595" spans="1:11" ht="15" customHeight="1" x14ac:dyDescent="0.2">
      <c r="A595" s="22" t="s">
        <v>508</v>
      </c>
      <c r="B595" s="23" t="s">
        <v>8</v>
      </c>
      <c r="C595" s="23" t="s">
        <v>9</v>
      </c>
      <c r="D595" s="24" t="s">
        <v>64</v>
      </c>
      <c r="E595" s="24" t="s">
        <v>256</v>
      </c>
      <c r="F595" s="18">
        <v>95.148099999999999</v>
      </c>
      <c r="G595" s="19">
        <v>213.16730000000001</v>
      </c>
      <c r="H595" s="20">
        <v>155.60400000000001</v>
      </c>
      <c r="I595" s="21">
        <v>3171.4767999999999</v>
      </c>
      <c r="J595" s="20">
        <v>7264.2154</v>
      </c>
      <c r="K595" s="20">
        <v>5013.7686000000003</v>
      </c>
    </row>
    <row r="596" spans="1:11" ht="15" customHeight="1" x14ac:dyDescent="0.2">
      <c r="A596" s="22" t="s">
        <v>509</v>
      </c>
      <c r="B596" s="23" t="s">
        <v>8</v>
      </c>
      <c r="C596" s="23" t="s">
        <v>9</v>
      </c>
      <c r="D596" s="24" t="s">
        <v>64</v>
      </c>
      <c r="E596" s="24" t="s">
        <v>363</v>
      </c>
      <c r="F596" s="18">
        <v>19.249199999999998</v>
      </c>
      <c r="G596" s="19">
        <v>1.4004000000000001</v>
      </c>
      <c r="H596" s="20"/>
      <c r="I596" s="21">
        <v>316.69850000000002</v>
      </c>
      <c r="J596" s="20">
        <v>25.215900000000001</v>
      </c>
      <c r="K596" s="20"/>
    </row>
    <row r="597" spans="1:11" ht="15" customHeight="1" x14ac:dyDescent="0.2">
      <c r="A597" s="22" t="s">
        <v>510</v>
      </c>
      <c r="B597" s="23" t="s">
        <v>8</v>
      </c>
      <c r="C597" s="23" t="s">
        <v>9</v>
      </c>
      <c r="D597" s="24" t="s">
        <v>64</v>
      </c>
      <c r="E597" s="24" t="s">
        <v>34</v>
      </c>
      <c r="F597" s="18">
        <v>0.76639999999999997</v>
      </c>
      <c r="G597" s="19">
        <v>3.6499999999999998E-2</v>
      </c>
      <c r="H597" s="20"/>
      <c r="I597" s="21">
        <v>14.48</v>
      </c>
      <c r="J597" s="20">
        <v>0.67200000000000004</v>
      </c>
      <c r="K597" s="20"/>
    </row>
    <row r="598" spans="1:11" ht="15" customHeight="1" x14ac:dyDescent="0.2">
      <c r="A598" s="22" t="s">
        <v>511</v>
      </c>
      <c r="B598" s="23" t="s">
        <v>8</v>
      </c>
      <c r="C598" s="23" t="s">
        <v>9</v>
      </c>
      <c r="D598" s="24" t="s">
        <v>64</v>
      </c>
      <c r="E598" s="24" t="s">
        <v>34</v>
      </c>
      <c r="F598" s="18">
        <v>0.17649999999999999</v>
      </c>
      <c r="G598" s="19"/>
      <c r="H598" s="20"/>
      <c r="I598" s="21">
        <v>2.9144999999999999</v>
      </c>
      <c r="J598" s="20"/>
      <c r="K598" s="20"/>
    </row>
    <row r="599" spans="1:11" ht="15" customHeight="1" x14ac:dyDescent="0.2">
      <c r="A599" s="22" t="s">
        <v>512</v>
      </c>
      <c r="B599" s="23" t="s">
        <v>8</v>
      </c>
      <c r="C599" s="23" t="s">
        <v>9</v>
      </c>
      <c r="D599" s="24" t="s">
        <v>64</v>
      </c>
      <c r="E599" s="24" t="s">
        <v>34</v>
      </c>
      <c r="F599" s="18">
        <v>3.9998</v>
      </c>
      <c r="G599" s="19">
        <v>2.0327000000000002</v>
      </c>
      <c r="H599" s="20">
        <v>0.44619999999999999</v>
      </c>
      <c r="I599" s="21">
        <v>76.599100000000007</v>
      </c>
      <c r="J599" s="20">
        <v>45.206499999999998</v>
      </c>
      <c r="K599" s="20">
        <v>9.7993000000000006</v>
      </c>
    </row>
    <row r="600" spans="1:11" ht="15" customHeight="1" x14ac:dyDescent="0.2">
      <c r="A600" s="22" t="s">
        <v>513</v>
      </c>
      <c r="B600" s="23" t="s">
        <v>8</v>
      </c>
      <c r="C600" s="23" t="s">
        <v>9</v>
      </c>
      <c r="D600" s="24" t="s">
        <v>64</v>
      </c>
      <c r="E600" s="24" t="s">
        <v>34</v>
      </c>
      <c r="F600" s="18">
        <v>3.4256000000000002</v>
      </c>
      <c r="G600" s="19">
        <v>0.1051</v>
      </c>
      <c r="H600" s="20"/>
      <c r="I600" s="21">
        <v>52.9163</v>
      </c>
      <c r="J600" s="20">
        <v>1.5987</v>
      </c>
      <c r="K600" s="20"/>
    </row>
    <row r="601" spans="1:11" ht="15" customHeight="1" x14ac:dyDescent="0.2">
      <c r="A601" s="22" t="s">
        <v>514</v>
      </c>
      <c r="B601" s="23" t="s">
        <v>8</v>
      </c>
      <c r="C601" s="23" t="s">
        <v>9</v>
      </c>
      <c r="D601" s="24" t="s">
        <v>64</v>
      </c>
      <c r="E601" s="24" t="s">
        <v>34</v>
      </c>
      <c r="F601" s="18">
        <v>2.7799999999999998E-2</v>
      </c>
      <c r="G601" s="19"/>
      <c r="H601" s="20"/>
      <c r="I601" s="21">
        <v>0.59</v>
      </c>
      <c r="J601" s="20"/>
      <c r="K601" s="20"/>
    </row>
    <row r="602" spans="1:11" ht="15" customHeight="1" x14ac:dyDescent="0.2">
      <c r="A602" s="22" t="s">
        <v>515</v>
      </c>
      <c r="B602" s="23" t="s">
        <v>8</v>
      </c>
      <c r="C602" s="23" t="s">
        <v>9</v>
      </c>
      <c r="D602" s="24" t="s">
        <v>64</v>
      </c>
      <c r="E602" s="24" t="s">
        <v>34</v>
      </c>
      <c r="F602" s="18">
        <v>2.0205000000000002</v>
      </c>
      <c r="G602" s="19">
        <v>6.1100000000000002E-2</v>
      </c>
      <c r="H602" s="20">
        <v>4.3E-3</v>
      </c>
      <c r="I602" s="21">
        <v>30.746600000000001</v>
      </c>
      <c r="J602" s="20">
        <v>0.89600000000000002</v>
      </c>
      <c r="K602" s="20">
        <v>5.6000000000000001E-2</v>
      </c>
    </row>
    <row r="603" spans="1:11" ht="15" customHeight="1" x14ac:dyDescent="0.2">
      <c r="A603" s="22" t="s">
        <v>516</v>
      </c>
      <c r="B603" s="23" t="s">
        <v>8</v>
      </c>
      <c r="C603" s="23" t="s">
        <v>9</v>
      </c>
      <c r="D603" s="24" t="s">
        <v>64</v>
      </c>
      <c r="E603" s="24" t="s">
        <v>34</v>
      </c>
      <c r="F603" s="18"/>
      <c r="G603" s="19"/>
      <c r="H603" s="20"/>
      <c r="I603" s="21"/>
      <c r="J603" s="20"/>
      <c r="K603" s="20"/>
    </row>
    <row r="604" spans="1:11" ht="15" customHeight="1" x14ac:dyDescent="0.2">
      <c r="A604" s="22" t="s">
        <v>517</v>
      </c>
      <c r="B604" s="23" t="s">
        <v>8</v>
      </c>
      <c r="C604" s="23" t="s">
        <v>9</v>
      </c>
      <c r="D604" s="24" t="s">
        <v>64</v>
      </c>
      <c r="E604" s="24" t="s">
        <v>34</v>
      </c>
      <c r="F604" s="18">
        <v>2.1128999999999998</v>
      </c>
      <c r="G604" s="19">
        <v>3.0200000000000001E-2</v>
      </c>
      <c r="H604" s="20"/>
      <c r="I604" s="21">
        <v>32.116500000000002</v>
      </c>
      <c r="J604" s="20">
        <v>0.44800000000000001</v>
      </c>
      <c r="K604" s="20"/>
    </row>
    <row r="605" spans="1:11" ht="15" customHeight="1" x14ac:dyDescent="0.2">
      <c r="A605" s="22" t="s">
        <v>518</v>
      </c>
      <c r="B605" s="23" t="s">
        <v>8</v>
      </c>
      <c r="C605" s="23" t="s">
        <v>9</v>
      </c>
      <c r="D605" s="24" t="s">
        <v>64</v>
      </c>
      <c r="E605" s="24" t="s">
        <v>34</v>
      </c>
      <c r="F605" s="18"/>
      <c r="G605" s="19"/>
      <c r="H605" s="20"/>
      <c r="I605" s="21"/>
      <c r="J605" s="20"/>
      <c r="K605" s="20"/>
    </row>
    <row r="606" spans="1:11" ht="15" customHeight="1" x14ac:dyDescent="0.2">
      <c r="A606" s="22" t="s">
        <v>519</v>
      </c>
      <c r="B606" s="23" t="s">
        <v>8</v>
      </c>
      <c r="C606" s="23" t="s">
        <v>9</v>
      </c>
      <c r="D606" s="24" t="s">
        <v>64</v>
      </c>
      <c r="E606" s="24" t="s">
        <v>34</v>
      </c>
      <c r="F606" s="18">
        <v>0.03</v>
      </c>
      <c r="G606" s="19">
        <v>5.8999999999999999E-3</v>
      </c>
      <c r="H606" s="20"/>
      <c r="I606" s="21">
        <v>0.67200000000000004</v>
      </c>
      <c r="J606" s="20">
        <v>0.16800000000000001</v>
      </c>
      <c r="K606" s="20"/>
    </row>
    <row r="607" spans="1:11" ht="15" customHeight="1" x14ac:dyDescent="0.2">
      <c r="A607" s="22" t="s">
        <v>520</v>
      </c>
      <c r="B607" s="23" t="s">
        <v>8</v>
      </c>
      <c r="C607" s="23" t="s">
        <v>9</v>
      </c>
      <c r="D607" s="24" t="s">
        <v>64</v>
      </c>
      <c r="E607" s="24" t="s">
        <v>34</v>
      </c>
      <c r="F607" s="18">
        <v>3.5200000000000002E-2</v>
      </c>
      <c r="G607" s="19"/>
      <c r="H607" s="20"/>
      <c r="I607" s="21">
        <v>0.65949999999999998</v>
      </c>
      <c r="J607" s="20"/>
      <c r="K607" s="20"/>
    </row>
    <row r="608" spans="1:11" ht="15" customHeight="1" x14ac:dyDescent="0.2">
      <c r="A608" s="22" t="s">
        <v>521</v>
      </c>
      <c r="B608" s="23" t="s">
        <v>8</v>
      </c>
      <c r="C608" s="23" t="s">
        <v>9</v>
      </c>
      <c r="D608" s="24" t="s">
        <v>64</v>
      </c>
      <c r="E608" s="24" t="s">
        <v>34</v>
      </c>
      <c r="F608" s="18">
        <v>0.17460000000000001</v>
      </c>
      <c r="G608" s="19">
        <v>5.2699999999999997E-2</v>
      </c>
      <c r="H608" s="20">
        <v>1.09E-2</v>
      </c>
      <c r="I608" s="21">
        <v>3.8159000000000001</v>
      </c>
      <c r="J608" s="20">
        <v>1.4</v>
      </c>
      <c r="K608" s="20">
        <v>0.28000000000000003</v>
      </c>
    </row>
    <row r="609" spans="1:11" ht="15" customHeight="1" x14ac:dyDescent="0.2">
      <c r="A609" s="22" t="s">
        <v>522</v>
      </c>
      <c r="B609" s="23" t="s">
        <v>8</v>
      </c>
      <c r="C609" s="23" t="s">
        <v>9</v>
      </c>
      <c r="D609" s="24" t="s">
        <v>64</v>
      </c>
      <c r="E609" s="24" t="s">
        <v>34</v>
      </c>
      <c r="F609" s="18"/>
      <c r="G609" s="19"/>
      <c r="H609" s="20"/>
      <c r="I609" s="21"/>
      <c r="J609" s="20"/>
      <c r="K609" s="20"/>
    </row>
    <row r="610" spans="1:11" ht="15" customHeight="1" x14ac:dyDescent="0.2">
      <c r="A610" s="22" t="s">
        <v>523</v>
      </c>
      <c r="B610" s="23" t="s">
        <v>8</v>
      </c>
      <c r="C610" s="23" t="s">
        <v>9</v>
      </c>
      <c r="D610" s="24" t="s">
        <v>64</v>
      </c>
      <c r="E610" s="24" t="s">
        <v>34</v>
      </c>
      <c r="F610" s="18">
        <v>1.0412999999999999</v>
      </c>
      <c r="G610" s="19"/>
      <c r="H610" s="20"/>
      <c r="I610" s="21">
        <v>23.5031</v>
      </c>
      <c r="J610" s="20"/>
      <c r="K610" s="20"/>
    </row>
    <row r="611" spans="1:11" ht="15" customHeight="1" x14ac:dyDescent="0.2">
      <c r="A611" s="22" t="s">
        <v>524</v>
      </c>
      <c r="B611" s="23" t="s">
        <v>8</v>
      </c>
      <c r="C611" s="23" t="s">
        <v>9</v>
      </c>
      <c r="D611" s="24" t="s">
        <v>64</v>
      </c>
      <c r="E611" s="24" t="s">
        <v>34</v>
      </c>
      <c r="F611" s="18">
        <v>3.8100000000000002E-2</v>
      </c>
      <c r="G611" s="19">
        <v>7.4000000000000003E-3</v>
      </c>
      <c r="H611" s="20">
        <v>1.11E-2</v>
      </c>
      <c r="I611" s="21">
        <v>0.67200000000000004</v>
      </c>
      <c r="J611" s="20">
        <v>0.112</v>
      </c>
      <c r="K611" s="20">
        <v>0.16800000000000001</v>
      </c>
    </row>
    <row r="612" spans="1:11" ht="15" customHeight="1" x14ac:dyDescent="0.2">
      <c r="A612" s="22" t="s">
        <v>525</v>
      </c>
      <c r="B612" s="23" t="s">
        <v>8</v>
      </c>
      <c r="C612" s="23" t="s">
        <v>9</v>
      </c>
      <c r="D612" s="24" t="s">
        <v>64</v>
      </c>
      <c r="E612" s="24" t="s">
        <v>34</v>
      </c>
      <c r="F612" s="18">
        <v>1.0855999999999999</v>
      </c>
      <c r="G612" s="19">
        <v>0.58120000000000005</v>
      </c>
      <c r="H612" s="20"/>
      <c r="I612" s="21">
        <v>19.170200000000001</v>
      </c>
      <c r="J612" s="20">
        <v>10.2963</v>
      </c>
      <c r="K612" s="20"/>
    </row>
    <row r="613" spans="1:11" ht="15" customHeight="1" x14ac:dyDescent="0.2">
      <c r="A613" s="22" t="s">
        <v>526</v>
      </c>
      <c r="B613" s="23" t="s">
        <v>8</v>
      </c>
      <c r="C613" s="23" t="s">
        <v>9</v>
      </c>
      <c r="D613" s="24" t="s">
        <v>64</v>
      </c>
      <c r="E613" s="24" t="s">
        <v>34</v>
      </c>
      <c r="F613" s="18">
        <v>0.72109999999999996</v>
      </c>
      <c r="G613" s="19">
        <v>5.3105000000000002</v>
      </c>
      <c r="H613" s="20"/>
      <c r="I613" s="21">
        <v>13.8162</v>
      </c>
      <c r="J613" s="20">
        <v>130.43450000000001</v>
      </c>
      <c r="K613" s="20"/>
    </row>
    <row r="614" spans="1:11" ht="15" customHeight="1" x14ac:dyDescent="0.2">
      <c r="A614" s="22" t="s">
        <v>527</v>
      </c>
      <c r="B614" s="23" t="s">
        <v>8</v>
      </c>
      <c r="C614" s="23" t="s">
        <v>9</v>
      </c>
      <c r="D614" s="24" t="s">
        <v>64</v>
      </c>
      <c r="E614" s="24" t="s">
        <v>34</v>
      </c>
      <c r="F614" s="18">
        <v>0.80620000000000003</v>
      </c>
      <c r="G614" s="19"/>
      <c r="H614" s="20"/>
      <c r="I614" s="21">
        <v>18.060500000000001</v>
      </c>
      <c r="J614" s="20"/>
      <c r="K614" s="20"/>
    </row>
    <row r="615" spans="1:11" ht="15" customHeight="1" x14ac:dyDescent="0.2">
      <c r="A615" s="22" t="s">
        <v>528</v>
      </c>
      <c r="B615" s="23" t="s">
        <v>8</v>
      </c>
      <c r="C615" s="23" t="s">
        <v>9</v>
      </c>
      <c r="D615" s="24" t="s">
        <v>30</v>
      </c>
      <c r="E615" s="24" t="s">
        <v>37</v>
      </c>
      <c r="F615" s="18">
        <v>15.5359</v>
      </c>
      <c r="G615" s="19">
        <v>0.67789999999999995</v>
      </c>
      <c r="H615" s="20"/>
      <c r="I615" s="21">
        <v>345.3125</v>
      </c>
      <c r="J615" s="20">
        <v>13.0631</v>
      </c>
      <c r="K615" s="20"/>
    </row>
    <row r="616" spans="1:11" ht="15" customHeight="1" x14ac:dyDescent="0.2">
      <c r="A616" s="22" t="s">
        <v>529</v>
      </c>
      <c r="B616" s="23" t="s">
        <v>8</v>
      </c>
      <c r="C616" s="23" t="s">
        <v>9</v>
      </c>
      <c r="D616" s="24" t="s">
        <v>10</v>
      </c>
      <c r="E616" s="24" t="s">
        <v>37</v>
      </c>
      <c r="F616" s="18">
        <v>0.33579999999999999</v>
      </c>
      <c r="G616" s="19"/>
      <c r="H616" s="20"/>
      <c r="I616" s="21">
        <v>9.1472999999999995</v>
      </c>
      <c r="J616" s="20"/>
      <c r="K616" s="20"/>
    </row>
    <row r="617" spans="1:11" ht="15" customHeight="1" x14ac:dyDescent="0.2">
      <c r="A617" s="22" t="s">
        <v>530</v>
      </c>
      <c r="B617" s="23" t="s">
        <v>8</v>
      </c>
      <c r="C617" s="23" t="s">
        <v>9</v>
      </c>
      <c r="D617" s="24" t="s">
        <v>10</v>
      </c>
      <c r="E617" s="24" t="s">
        <v>37</v>
      </c>
      <c r="F617" s="18">
        <v>27.901900000000001</v>
      </c>
      <c r="G617" s="19">
        <v>8.1903000000000006</v>
      </c>
      <c r="H617" s="20">
        <v>0.88470000000000004</v>
      </c>
      <c r="I617" s="21">
        <v>618.1096</v>
      </c>
      <c r="J617" s="20">
        <v>185.2071</v>
      </c>
      <c r="K617" s="20">
        <v>18.353999999999999</v>
      </c>
    </row>
    <row r="618" spans="1:11" ht="15" customHeight="1" x14ac:dyDescent="0.2">
      <c r="A618" s="22" t="s">
        <v>531</v>
      </c>
      <c r="B618" s="23" t="s">
        <v>8</v>
      </c>
      <c r="C618" s="23" t="s">
        <v>9</v>
      </c>
      <c r="D618" s="24" t="s">
        <v>10</v>
      </c>
      <c r="E618" s="24" t="s">
        <v>37</v>
      </c>
      <c r="F618" s="18">
        <v>2.58E-2</v>
      </c>
      <c r="G618" s="19">
        <v>7.9000000000000008E-3</v>
      </c>
      <c r="H618" s="20"/>
      <c r="I618" s="21">
        <v>0.57599999999999996</v>
      </c>
      <c r="J618" s="20">
        <v>0.38400000000000001</v>
      </c>
      <c r="K618" s="20"/>
    </row>
    <row r="619" spans="1:11" ht="15" customHeight="1" x14ac:dyDescent="0.2">
      <c r="A619" s="22" t="s">
        <v>532</v>
      </c>
      <c r="B619" s="23" t="s">
        <v>8</v>
      </c>
      <c r="C619" s="23" t="s">
        <v>9</v>
      </c>
      <c r="D619" s="24" t="s">
        <v>10</v>
      </c>
      <c r="E619" s="24" t="s">
        <v>37</v>
      </c>
      <c r="F619" s="18"/>
      <c r="G619" s="19"/>
      <c r="H619" s="20"/>
      <c r="I619" s="21"/>
      <c r="J619" s="20"/>
      <c r="K619" s="20"/>
    </row>
    <row r="620" spans="1:11" ht="15" customHeight="1" x14ac:dyDescent="0.2">
      <c r="A620" s="22" t="s">
        <v>533</v>
      </c>
      <c r="B620" s="23" t="s">
        <v>8</v>
      </c>
      <c r="C620" s="23" t="s">
        <v>9</v>
      </c>
      <c r="D620" s="24" t="s">
        <v>10</v>
      </c>
      <c r="E620" s="24" t="s">
        <v>37</v>
      </c>
      <c r="F620" s="18">
        <v>0.55289999999999995</v>
      </c>
      <c r="G620" s="19">
        <v>0.47820000000000001</v>
      </c>
      <c r="H620" s="20">
        <v>8.14E-2</v>
      </c>
      <c r="I620" s="21">
        <v>17.2395</v>
      </c>
      <c r="J620" s="20">
        <v>16.416799999999999</v>
      </c>
      <c r="K620" s="20">
        <v>2.5183</v>
      </c>
    </row>
    <row r="621" spans="1:11" ht="15" customHeight="1" x14ac:dyDescent="0.2">
      <c r="A621" s="22" t="s">
        <v>534</v>
      </c>
      <c r="B621" s="23" t="s">
        <v>8</v>
      </c>
      <c r="C621" s="23" t="s">
        <v>9</v>
      </c>
      <c r="D621" s="24" t="s">
        <v>10</v>
      </c>
      <c r="E621" s="24" t="s">
        <v>37</v>
      </c>
      <c r="F621" s="18">
        <v>3.53</v>
      </c>
      <c r="G621" s="19">
        <v>1.6247</v>
      </c>
      <c r="H621" s="20"/>
      <c r="I621" s="21">
        <v>92.468000000000004</v>
      </c>
      <c r="J621" s="20">
        <v>38.321599999999997</v>
      </c>
      <c r="K621" s="20"/>
    </row>
    <row r="622" spans="1:11" ht="15" customHeight="1" x14ac:dyDescent="0.2">
      <c r="A622" s="22" t="s">
        <v>535</v>
      </c>
      <c r="B622" s="23" t="s">
        <v>8</v>
      </c>
      <c r="C622" s="23" t="s">
        <v>9</v>
      </c>
      <c r="D622" s="24" t="s">
        <v>30</v>
      </c>
      <c r="E622" s="24" t="s">
        <v>37</v>
      </c>
      <c r="F622" s="18">
        <v>0.42930000000000001</v>
      </c>
      <c r="G622" s="19">
        <v>0.67159999999999997</v>
      </c>
      <c r="H622" s="20"/>
      <c r="I622" s="21">
        <v>9.3439999999999994</v>
      </c>
      <c r="J622" s="20">
        <v>12.986599999999999</v>
      </c>
      <c r="K622" s="20"/>
    </row>
    <row r="623" spans="1:11" ht="15" customHeight="1" x14ac:dyDescent="0.2">
      <c r="A623" s="22" t="s">
        <v>536</v>
      </c>
      <c r="B623" s="23" t="s">
        <v>8</v>
      </c>
      <c r="C623" s="23" t="s">
        <v>9</v>
      </c>
      <c r="D623" s="24" t="s">
        <v>10</v>
      </c>
      <c r="E623" s="24" t="s">
        <v>37</v>
      </c>
      <c r="F623" s="18">
        <v>0.48170000000000002</v>
      </c>
      <c r="G623" s="19"/>
      <c r="H623" s="20"/>
      <c r="I623" s="21">
        <v>13.007199999999999</v>
      </c>
      <c r="J623" s="20"/>
      <c r="K623" s="20"/>
    </row>
    <row r="624" spans="1:11" ht="15" customHeight="1" x14ac:dyDescent="0.2">
      <c r="A624" s="22" t="s">
        <v>537</v>
      </c>
      <c r="B624" s="23" t="s">
        <v>8</v>
      </c>
      <c r="C624" s="23" t="s">
        <v>9</v>
      </c>
      <c r="D624" s="24" t="s">
        <v>10</v>
      </c>
      <c r="E624" s="24" t="s">
        <v>37</v>
      </c>
      <c r="F624" s="18"/>
      <c r="G624" s="19"/>
      <c r="H624" s="20">
        <v>8.9800000000000005E-2</v>
      </c>
      <c r="I624" s="21"/>
      <c r="J624" s="20"/>
      <c r="K624" s="20">
        <v>1.9842</v>
      </c>
    </row>
    <row r="625" spans="1:11" ht="15" customHeight="1" x14ac:dyDescent="0.2">
      <c r="A625" s="22" t="s">
        <v>538</v>
      </c>
      <c r="B625" s="23" t="s">
        <v>8</v>
      </c>
      <c r="C625" s="23" t="s">
        <v>9</v>
      </c>
      <c r="D625" s="24" t="s">
        <v>10</v>
      </c>
      <c r="E625" s="24" t="s">
        <v>37</v>
      </c>
      <c r="F625" s="18"/>
      <c r="G625" s="19"/>
      <c r="H625" s="20"/>
      <c r="I625" s="21"/>
      <c r="J625" s="20"/>
      <c r="K625" s="20"/>
    </row>
    <row r="626" spans="1:11" ht="15" customHeight="1" x14ac:dyDescent="0.2">
      <c r="A626" s="22" t="s">
        <v>539</v>
      </c>
      <c r="B626" s="23" t="s">
        <v>8</v>
      </c>
      <c r="C626" s="23" t="s">
        <v>9</v>
      </c>
      <c r="D626" s="24" t="s">
        <v>10</v>
      </c>
      <c r="E626" s="24" t="s">
        <v>37</v>
      </c>
      <c r="F626" s="18"/>
      <c r="G626" s="19"/>
      <c r="H626" s="20">
        <v>0.16889999999999999</v>
      </c>
      <c r="I626" s="21"/>
      <c r="J626" s="20"/>
      <c r="K626" s="20">
        <v>4.3247</v>
      </c>
    </row>
    <row r="627" spans="1:11" ht="15" customHeight="1" x14ac:dyDescent="0.2">
      <c r="A627" s="22" t="s">
        <v>540</v>
      </c>
      <c r="B627" s="23" t="s">
        <v>8</v>
      </c>
      <c r="C627" s="23" t="s">
        <v>9</v>
      </c>
      <c r="D627" s="24" t="s">
        <v>10</v>
      </c>
      <c r="E627" s="24" t="s">
        <v>37</v>
      </c>
      <c r="F627" s="18">
        <v>4.2949000000000002</v>
      </c>
      <c r="G627" s="19">
        <v>0.33839999999999998</v>
      </c>
      <c r="H627" s="20"/>
      <c r="I627" s="21">
        <v>87.926599999999993</v>
      </c>
      <c r="J627" s="20">
        <v>6.2496999999999998</v>
      </c>
      <c r="K627" s="20"/>
    </row>
    <row r="628" spans="1:11" ht="15" customHeight="1" x14ac:dyDescent="0.2">
      <c r="A628" s="22" t="s">
        <v>541</v>
      </c>
      <c r="B628" s="23" t="s">
        <v>8</v>
      </c>
      <c r="C628" s="23" t="s">
        <v>9</v>
      </c>
      <c r="D628" s="24" t="s">
        <v>10</v>
      </c>
      <c r="E628" s="24" t="s">
        <v>37</v>
      </c>
      <c r="F628" s="18">
        <v>13.5303</v>
      </c>
      <c r="G628" s="19">
        <v>2.3972000000000002</v>
      </c>
      <c r="H628" s="20">
        <v>0.73670000000000002</v>
      </c>
      <c r="I628" s="21">
        <v>272.4522</v>
      </c>
      <c r="J628" s="20">
        <v>43.2258</v>
      </c>
      <c r="K628" s="20">
        <v>13.669700000000001</v>
      </c>
    </row>
    <row r="629" spans="1:11" ht="15" customHeight="1" x14ac:dyDescent="0.2">
      <c r="A629" s="22" t="s">
        <v>542</v>
      </c>
      <c r="B629" s="23" t="s">
        <v>8</v>
      </c>
      <c r="C629" s="23" t="s">
        <v>9</v>
      </c>
      <c r="D629" s="24" t="s">
        <v>10</v>
      </c>
      <c r="E629" s="24" t="s">
        <v>37</v>
      </c>
      <c r="F629" s="18">
        <v>8.9724000000000004</v>
      </c>
      <c r="G629" s="19">
        <v>2.3250000000000002</v>
      </c>
      <c r="H629" s="20">
        <v>9.6000000000000002E-2</v>
      </c>
      <c r="I629" s="21">
        <v>202.00700000000001</v>
      </c>
      <c r="J629" s="20">
        <v>55.267699999999998</v>
      </c>
      <c r="K629" s="20">
        <v>2.0488</v>
      </c>
    </row>
    <row r="630" spans="1:11" ht="15" customHeight="1" x14ac:dyDescent="0.2">
      <c r="A630" s="22" t="s">
        <v>543</v>
      </c>
      <c r="B630" s="23" t="s">
        <v>8</v>
      </c>
      <c r="C630" s="23" t="s">
        <v>9</v>
      </c>
      <c r="D630" s="24" t="s">
        <v>10</v>
      </c>
      <c r="E630" s="24" t="s">
        <v>37</v>
      </c>
      <c r="F630" s="18">
        <v>0.24310000000000001</v>
      </c>
      <c r="G630" s="19">
        <v>0.1048</v>
      </c>
      <c r="H630" s="20"/>
      <c r="I630" s="21">
        <v>5.5039999999999996</v>
      </c>
      <c r="J630" s="20">
        <v>2.3589000000000002</v>
      </c>
      <c r="K630" s="20"/>
    </row>
    <row r="631" spans="1:11" ht="15" customHeight="1" x14ac:dyDescent="0.2">
      <c r="A631" s="22" t="s">
        <v>544</v>
      </c>
      <c r="B631" s="23" t="s">
        <v>8</v>
      </c>
      <c r="C631" s="23" t="s">
        <v>9</v>
      </c>
      <c r="D631" s="24" t="s">
        <v>10</v>
      </c>
      <c r="E631" s="24" t="s">
        <v>37</v>
      </c>
      <c r="F631" s="18"/>
      <c r="G631" s="19"/>
      <c r="H631" s="20"/>
      <c r="I631" s="21"/>
      <c r="J631" s="20"/>
      <c r="K631" s="20"/>
    </row>
    <row r="632" spans="1:11" ht="15" customHeight="1" x14ac:dyDescent="0.2">
      <c r="A632" s="22" t="s">
        <v>545</v>
      </c>
      <c r="B632" s="23" t="s">
        <v>8</v>
      </c>
      <c r="C632" s="23" t="s">
        <v>9</v>
      </c>
      <c r="D632" s="24" t="s">
        <v>10</v>
      </c>
      <c r="E632" s="24" t="s">
        <v>37</v>
      </c>
      <c r="F632" s="18"/>
      <c r="G632" s="19"/>
      <c r="H632" s="20"/>
      <c r="I632" s="21"/>
      <c r="J632" s="20"/>
      <c r="K632" s="20"/>
    </row>
    <row r="633" spans="1:11" ht="15" customHeight="1" x14ac:dyDescent="0.2">
      <c r="A633" s="22" t="s">
        <v>546</v>
      </c>
      <c r="B633" s="23" t="s">
        <v>8</v>
      </c>
      <c r="C633" s="23" t="s">
        <v>9</v>
      </c>
      <c r="D633" s="24" t="s">
        <v>30</v>
      </c>
      <c r="E633" s="24" t="s">
        <v>17</v>
      </c>
      <c r="F633" s="18">
        <v>299.24509999999998</v>
      </c>
      <c r="G633" s="19">
        <v>239.40260000000001</v>
      </c>
      <c r="H633" s="20">
        <v>70.132900000000006</v>
      </c>
      <c r="I633" s="21">
        <v>8505.4575000000004</v>
      </c>
      <c r="J633" s="20">
        <v>6543.0663999999997</v>
      </c>
      <c r="K633" s="20">
        <v>1626.3281999999999</v>
      </c>
    </row>
    <row r="634" spans="1:11" ht="15" customHeight="1" x14ac:dyDescent="0.2">
      <c r="A634" s="22" t="s">
        <v>547</v>
      </c>
      <c r="B634" s="23" t="s">
        <v>8</v>
      </c>
      <c r="C634" s="23" t="s">
        <v>9</v>
      </c>
      <c r="D634" s="24" t="s">
        <v>64</v>
      </c>
      <c r="E634" s="24" t="s">
        <v>17</v>
      </c>
      <c r="F634" s="18">
        <v>228.9504</v>
      </c>
      <c r="G634" s="19">
        <v>220.107</v>
      </c>
      <c r="H634" s="20">
        <v>99.616699999999994</v>
      </c>
      <c r="I634" s="21">
        <v>6068.1558999999997</v>
      </c>
      <c r="J634" s="20">
        <v>5788.4287000000004</v>
      </c>
      <c r="K634" s="20">
        <v>2377.8838000000001</v>
      </c>
    </row>
    <row r="635" spans="1:11" ht="15" customHeight="1" x14ac:dyDescent="0.2">
      <c r="A635" s="22" t="s">
        <v>548</v>
      </c>
      <c r="B635" s="23" t="s">
        <v>8</v>
      </c>
      <c r="C635" s="23" t="s">
        <v>9</v>
      </c>
      <c r="D635" s="24" t="s">
        <v>30</v>
      </c>
      <c r="E635" s="24" t="s">
        <v>549</v>
      </c>
      <c r="F635" s="18"/>
      <c r="G635" s="19"/>
      <c r="H635" s="20">
        <v>4.2099999999999999E-2</v>
      </c>
      <c r="I635" s="21"/>
      <c r="J635" s="20"/>
      <c r="K635" s="20">
        <v>0.45</v>
      </c>
    </row>
    <row r="636" spans="1:11" ht="15" customHeight="1" x14ac:dyDescent="0.2">
      <c r="A636" s="22" t="s">
        <v>550</v>
      </c>
      <c r="B636" s="23" t="s">
        <v>8</v>
      </c>
      <c r="C636" s="23" t="s">
        <v>9</v>
      </c>
      <c r="D636" s="24" t="s">
        <v>30</v>
      </c>
      <c r="E636" s="24" t="s">
        <v>549</v>
      </c>
      <c r="F636" s="18"/>
      <c r="G636" s="19"/>
      <c r="H636" s="20">
        <v>0.3543</v>
      </c>
      <c r="I636" s="21"/>
      <c r="J636" s="20"/>
      <c r="K636" s="20">
        <v>4.1279000000000003</v>
      </c>
    </row>
    <row r="637" spans="1:11" ht="15" customHeight="1" x14ac:dyDescent="0.2">
      <c r="A637" s="22" t="s">
        <v>551</v>
      </c>
      <c r="B637" s="23" t="s">
        <v>8</v>
      </c>
      <c r="C637" s="23" t="s">
        <v>9</v>
      </c>
      <c r="D637" s="24" t="s">
        <v>30</v>
      </c>
      <c r="E637" s="24" t="s">
        <v>549</v>
      </c>
      <c r="F637" s="18">
        <v>9.0039999999999996</v>
      </c>
      <c r="G637" s="19">
        <v>27.005199999999999</v>
      </c>
      <c r="H637" s="20">
        <v>7.3737000000000004</v>
      </c>
      <c r="I637" s="21">
        <v>168.55369999999999</v>
      </c>
      <c r="J637" s="20">
        <v>470.04379999999998</v>
      </c>
      <c r="K637" s="20">
        <v>117.492</v>
      </c>
    </row>
    <row r="638" spans="1:11" ht="15" customHeight="1" x14ac:dyDescent="0.2">
      <c r="A638" s="22" t="s">
        <v>552</v>
      </c>
      <c r="B638" s="23" t="s">
        <v>8</v>
      </c>
      <c r="C638" s="23" t="s">
        <v>9</v>
      </c>
      <c r="D638" s="24" t="s">
        <v>30</v>
      </c>
      <c r="E638" s="24" t="s">
        <v>549</v>
      </c>
      <c r="F638" s="18">
        <v>9.5648</v>
      </c>
      <c r="G638" s="19">
        <v>36.633899999999997</v>
      </c>
      <c r="H638" s="20">
        <v>14.959</v>
      </c>
      <c r="I638" s="21">
        <v>136.73179999999999</v>
      </c>
      <c r="J638" s="20">
        <v>512.46489999999994</v>
      </c>
      <c r="K638" s="20">
        <v>178.05029999999999</v>
      </c>
    </row>
    <row r="639" spans="1:11" ht="15" customHeight="1" x14ac:dyDescent="0.2">
      <c r="A639" s="22" t="s">
        <v>553</v>
      </c>
      <c r="B639" s="23" t="s">
        <v>8</v>
      </c>
      <c r="C639" s="23" t="s">
        <v>9</v>
      </c>
      <c r="D639" s="24" t="s">
        <v>10</v>
      </c>
      <c r="E639" s="24" t="s">
        <v>42</v>
      </c>
      <c r="F639" s="18">
        <v>0.18679999999999999</v>
      </c>
      <c r="G639" s="19"/>
      <c r="H639" s="20"/>
      <c r="I639" s="21">
        <v>4.4957000000000003</v>
      </c>
      <c r="J639" s="20"/>
      <c r="K639" s="20"/>
    </row>
    <row r="640" spans="1:11" ht="15" customHeight="1" x14ac:dyDescent="0.2">
      <c r="A640" s="22" t="s">
        <v>554</v>
      </c>
      <c r="B640" s="23" t="s">
        <v>8</v>
      </c>
      <c r="C640" s="23" t="s">
        <v>555</v>
      </c>
      <c r="D640" s="24" t="s">
        <v>64</v>
      </c>
      <c r="E640" s="24" t="s">
        <v>34</v>
      </c>
      <c r="F640" s="18">
        <v>0.2319</v>
      </c>
      <c r="G640" s="19"/>
      <c r="H640" s="20"/>
      <c r="I640" s="21">
        <v>3.4005999999999998</v>
      </c>
      <c r="J640" s="20"/>
      <c r="K640" s="20"/>
    </row>
    <row r="641" spans="1:11" ht="15" customHeight="1" x14ac:dyDescent="0.2">
      <c r="A641" s="14" t="s">
        <v>556</v>
      </c>
      <c r="B641" s="15" t="s">
        <v>6</v>
      </c>
      <c r="C641" s="16"/>
      <c r="D641" s="17"/>
      <c r="E641" s="17"/>
      <c r="F641" s="18">
        <v>0.373</v>
      </c>
      <c r="G641" s="19">
        <v>1.12E-2</v>
      </c>
      <c r="H641" s="20"/>
      <c r="I641" s="21">
        <v>7.2888000000000002</v>
      </c>
      <c r="J641" s="20">
        <v>0.2389</v>
      </c>
      <c r="K641" s="20"/>
    </row>
    <row r="642" spans="1:11" ht="15" customHeight="1" x14ac:dyDescent="0.2">
      <c r="A642" s="22" t="s">
        <v>557</v>
      </c>
      <c r="B642" s="23" t="s">
        <v>8</v>
      </c>
      <c r="C642" s="23" t="s">
        <v>9</v>
      </c>
      <c r="D642" s="24" t="s">
        <v>64</v>
      </c>
      <c r="E642" s="24" t="s">
        <v>34</v>
      </c>
      <c r="F642" s="18">
        <v>0.2671</v>
      </c>
      <c r="G642" s="19"/>
      <c r="H642" s="20"/>
      <c r="I642" s="21">
        <v>5.0296000000000003</v>
      </c>
      <c r="J642" s="20"/>
      <c r="K642" s="20"/>
    </row>
    <row r="643" spans="1:11" ht="15" customHeight="1" x14ac:dyDescent="0.2">
      <c r="A643" s="22" t="s">
        <v>825</v>
      </c>
      <c r="B643" s="23" t="s">
        <v>8</v>
      </c>
      <c r="C643" s="23" t="s">
        <v>9</v>
      </c>
      <c r="D643" s="24" t="s">
        <v>10</v>
      </c>
      <c r="E643" s="24" t="s">
        <v>37</v>
      </c>
      <c r="F643" s="18">
        <v>0.10589999999999999</v>
      </c>
      <c r="G643" s="19">
        <v>1.12E-2</v>
      </c>
      <c r="H643" s="20"/>
      <c r="I643" s="21">
        <v>2.2591999999999999</v>
      </c>
      <c r="J643" s="20">
        <v>0.2389</v>
      </c>
      <c r="K643" s="20"/>
    </row>
    <row r="644" spans="1:11" ht="14.25" customHeight="1" x14ac:dyDescent="0.2">
      <c r="A644" s="25" t="s">
        <v>792</v>
      </c>
      <c r="B644" s="4" t="s">
        <v>5</v>
      </c>
      <c r="C644" s="4"/>
      <c r="D644" s="5"/>
      <c r="E644" s="5"/>
      <c r="F644" s="10">
        <v>12.300599999999999</v>
      </c>
      <c r="G644" s="11">
        <v>12.544</v>
      </c>
      <c r="H644" s="12">
        <v>8.6647999999999996</v>
      </c>
      <c r="I644" s="13">
        <v>127.5915</v>
      </c>
      <c r="J644" s="12">
        <v>142.6704</v>
      </c>
      <c r="K644" s="12">
        <v>110.39149999999999</v>
      </c>
    </row>
    <row r="645" spans="1:11" ht="15" customHeight="1" x14ac:dyDescent="0.2">
      <c r="A645" s="14" t="s">
        <v>558</v>
      </c>
      <c r="B645" s="15" t="s">
        <v>6</v>
      </c>
      <c r="C645" s="16"/>
      <c r="D645" s="17"/>
      <c r="E645" s="17"/>
      <c r="F645" s="18">
        <v>12.300599999999999</v>
      </c>
      <c r="G645" s="19">
        <v>12.544</v>
      </c>
      <c r="H645" s="20">
        <v>8.6647999999999996</v>
      </c>
      <c r="I645" s="21">
        <v>127.5915</v>
      </c>
      <c r="J645" s="20">
        <v>142.6704</v>
      </c>
      <c r="K645" s="20">
        <v>110.39149999999999</v>
      </c>
    </row>
    <row r="646" spans="1:11" ht="15" customHeight="1" x14ac:dyDescent="0.2">
      <c r="A646" s="22" t="s">
        <v>559</v>
      </c>
      <c r="B646" s="23" t="s">
        <v>8</v>
      </c>
      <c r="C646" s="23" t="s">
        <v>9</v>
      </c>
      <c r="D646" s="24" t="s">
        <v>249</v>
      </c>
      <c r="E646" s="24" t="s">
        <v>103</v>
      </c>
      <c r="F646" s="18">
        <v>2.1598999999999999</v>
      </c>
      <c r="G646" s="19">
        <v>5.1025</v>
      </c>
      <c r="H646" s="20">
        <v>6.3079000000000001</v>
      </c>
      <c r="I646" s="21">
        <v>36.4</v>
      </c>
      <c r="J646" s="20">
        <v>77.862799999999993</v>
      </c>
      <c r="K646" s="20">
        <v>91.042100000000005</v>
      </c>
    </row>
    <row r="647" spans="1:11" ht="15" customHeight="1" x14ac:dyDescent="0.2">
      <c r="A647" s="22" t="s">
        <v>560</v>
      </c>
      <c r="B647" s="23" t="s">
        <v>8</v>
      </c>
      <c r="C647" s="23" t="s">
        <v>9</v>
      </c>
      <c r="D647" s="24" t="s">
        <v>249</v>
      </c>
      <c r="E647" s="24" t="s">
        <v>103</v>
      </c>
      <c r="F647" s="18">
        <v>10.1408</v>
      </c>
      <c r="G647" s="19">
        <v>7.4416000000000002</v>
      </c>
      <c r="H647" s="20">
        <v>2.3571</v>
      </c>
      <c r="I647" s="21">
        <v>91.191500000000005</v>
      </c>
      <c r="J647" s="20">
        <v>64.807599999999994</v>
      </c>
      <c r="K647" s="20">
        <v>19.349299999999999</v>
      </c>
    </row>
    <row r="648" spans="1:11" ht="14.25" customHeight="1" x14ac:dyDescent="0.2">
      <c r="A648" s="25" t="s">
        <v>793</v>
      </c>
      <c r="B648" s="4" t="s">
        <v>5</v>
      </c>
      <c r="C648" s="4"/>
      <c r="D648" s="5"/>
      <c r="E648" s="5"/>
      <c r="F648" s="10"/>
      <c r="G648" s="11"/>
      <c r="H648" s="12"/>
      <c r="I648" s="13"/>
      <c r="J648" s="12"/>
      <c r="K648" s="12"/>
    </row>
    <row r="649" spans="1:11" ht="15" customHeight="1" x14ac:dyDescent="0.2">
      <c r="A649" s="14" t="s">
        <v>561</v>
      </c>
      <c r="B649" s="15" t="s">
        <v>6</v>
      </c>
      <c r="C649" s="16"/>
      <c r="D649" s="17"/>
      <c r="E649" s="17"/>
      <c r="F649" s="18"/>
      <c r="G649" s="19"/>
      <c r="H649" s="20"/>
      <c r="I649" s="21"/>
      <c r="J649" s="20"/>
      <c r="K649" s="20"/>
    </row>
    <row r="650" spans="1:11" ht="15" customHeight="1" x14ac:dyDescent="0.2">
      <c r="A650" s="22" t="s">
        <v>562</v>
      </c>
      <c r="B650" s="23" t="s">
        <v>8</v>
      </c>
      <c r="C650" s="23" t="s">
        <v>9</v>
      </c>
      <c r="D650" s="24" t="s">
        <v>20</v>
      </c>
      <c r="E650" s="24" t="s">
        <v>42</v>
      </c>
      <c r="F650" s="18"/>
      <c r="G650" s="19"/>
      <c r="H650" s="20"/>
      <c r="I650" s="21"/>
      <c r="J650" s="20"/>
      <c r="K650" s="20"/>
    </row>
    <row r="651" spans="1:11" ht="14.25" customHeight="1" x14ac:dyDescent="0.2">
      <c r="A651" s="25" t="s">
        <v>794</v>
      </c>
      <c r="B651" s="4" t="s">
        <v>5</v>
      </c>
      <c r="C651" s="4"/>
      <c r="D651" s="5"/>
      <c r="E651" s="5"/>
      <c r="F651" s="10">
        <v>78.612799999999993</v>
      </c>
      <c r="G651" s="11">
        <v>83.733099999999993</v>
      </c>
      <c r="H651" s="12">
        <v>33.060899999999997</v>
      </c>
      <c r="I651" s="13">
        <v>5148.8362999999999</v>
      </c>
      <c r="J651" s="12">
        <v>5284.2040999999999</v>
      </c>
      <c r="K651" s="12">
        <v>2040.6587</v>
      </c>
    </row>
    <row r="652" spans="1:11" ht="15" customHeight="1" x14ac:dyDescent="0.2">
      <c r="A652" s="14" t="s">
        <v>563</v>
      </c>
      <c r="B652" s="15" t="s">
        <v>6</v>
      </c>
      <c r="C652" s="16"/>
      <c r="D652" s="17"/>
      <c r="E652" s="17"/>
      <c r="F652" s="18">
        <v>12.684200000000001</v>
      </c>
      <c r="G652" s="19"/>
      <c r="H652" s="20"/>
      <c r="I652" s="21">
        <v>511.87400000000002</v>
      </c>
      <c r="J652" s="20"/>
      <c r="K652" s="20"/>
    </row>
    <row r="653" spans="1:11" ht="15" customHeight="1" x14ac:dyDescent="0.2">
      <c r="A653" s="22" t="s">
        <v>564</v>
      </c>
      <c r="B653" s="23" t="s">
        <v>8</v>
      </c>
      <c r="C653" s="23" t="s">
        <v>9</v>
      </c>
      <c r="D653" s="24" t="s">
        <v>20</v>
      </c>
      <c r="E653" s="24" t="s">
        <v>17</v>
      </c>
      <c r="F653" s="18">
        <v>2.9045000000000001</v>
      </c>
      <c r="G653" s="19"/>
      <c r="H653" s="20"/>
      <c r="I653" s="21">
        <v>116.9823</v>
      </c>
      <c r="J653" s="20"/>
      <c r="K653" s="20"/>
    </row>
    <row r="654" spans="1:11" ht="15" customHeight="1" x14ac:dyDescent="0.2">
      <c r="A654" s="22" t="s">
        <v>565</v>
      </c>
      <c r="B654" s="23" t="s">
        <v>8</v>
      </c>
      <c r="C654" s="23" t="s">
        <v>9</v>
      </c>
      <c r="D654" s="24" t="s">
        <v>10</v>
      </c>
      <c r="E654" s="24" t="s">
        <v>17</v>
      </c>
      <c r="F654" s="18">
        <v>2.9113000000000002</v>
      </c>
      <c r="G654" s="19"/>
      <c r="H654" s="20"/>
      <c r="I654" s="21">
        <v>119.83880000000001</v>
      </c>
      <c r="J654" s="20"/>
      <c r="K654" s="20"/>
    </row>
    <row r="655" spans="1:11" ht="15" customHeight="1" x14ac:dyDescent="0.2">
      <c r="A655" s="22" t="s">
        <v>566</v>
      </c>
      <c r="B655" s="23" t="s">
        <v>8</v>
      </c>
      <c r="C655" s="23" t="s">
        <v>9</v>
      </c>
      <c r="D655" s="24" t="s">
        <v>10</v>
      </c>
      <c r="E655" s="24" t="s">
        <v>17</v>
      </c>
      <c r="F655" s="18">
        <v>4.2324000000000002</v>
      </c>
      <c r="G655" s="19"/>
      <c r="H655" s="20"/>
      <c r="I655" s="21">
        <v>171.05330000000001</v>
      </c>
      <c r="J655" s="20"/>
      <c r="K655" s="20"/>
    </row>
    <row r="656" spans="1:11" ht="15" customHeight="1" x14ac:dyDescent="0.2">
      <c r="A656" s="22" t="s">
        <v>567</v>
      </c>
      <c r="B656" s="23" t="s">
        <v>8</v>
      </c>
      <c r="C656" s="23" t="s">
        <v>9</v>
      </c>
      <c r="D656" s="24" t="s">
        <v>20</v>
      </c>
      <c r="E656" s="24" t="s">
        <v>17</v>
      </c>
      <c r="F656" s="18">
        <v>2.6360000000000001</v>
      </c>
      <c r="G656" s="19"/>
      <c r="H656" s="20"/>
      <c r="I656" s="21">
        <v>103.9999</v>
      </c>
      <c r="J656" s="20"/>
      <c r="K656" s="20"/>
    </row>
    <row r="657" spans="1:11" ht="15" customHeight="1" x14ac:dyDescent="0.2">
      <c r="A657" s="14" t="s">
        <v>568</v>
      </c>
      <c r="B657" s="15" t="s">
        <v>6</v>
      </c>
      <c r="C657" s="16"/>
      <c r="D657" s="17"/>
      <c r="E657" s="17"/>
      <c r="F657" s="18">
        <v>65.928700000000006</v>
      </c>
      <c r="G657" s="19">
        <v>83.733099999999993</v>
      </c>
      <c r="H657" s="20">
        <v>33.060899999999997</v>
      </c>
      <c r="I657" s="21">
        <v>4636.9623000000001</v>
      </c>
      <c r="J657" s="20">
        <v>5284.2040999999999</v>
      </c>
      <c r="K657" s="20">
        <v>2040.6587</v>
      </c>
    </row>
    <row r="658" spans="1:11" ht="15" customHeight="1" x14ac:dyDescent="0.2">
      <c r="A658" s="22" t="s">
        <v>569</v>
      </c>
      <c r="B658" s="23" t="s">
        <v>8</v>
      </c>
      <c r="C658" s="23" t="s">
        <v>9</v>
      </c>
      <c r="D658" s="24" t="s">
        <v>20</v>
      </c>
      <c r="E658" s="24" t="s">
        <v>570</v>
      </c>
      <c r="F658" s="18">
        <v>59.2014</v>
      </c>
      <c r="G658" s="19">
        <v>82.022099999999995</v>
      </c>
      <c r="H658" s="20">
        <v>31.495899999999999</v>
      </c>
      <c r="I658" s="21">
        <v>4163.6220999999996</v>
      </c>
      <c r="J658" s="20">
        <v>5172.0583999999999</v>
      </c>
      <c r="K658" s="20">
        <v>1931.7985000000001</v>
      </c>
    </row>
    <row r="659" spans="1:11" ht="15" customHeight="1" x14ac:dyDescent="0.2">
      <c r="A659" s="22" t="s">
        <v>571</v>
      </c>
      <c r="B659" s="23" t="s">
        <v>8</v>
      </c>
      <c r="C659" s="23" t="s">
        <v>9</v>
      </c>
      <c r="D659" s="24" t="s">
        <v>20</v>
      </c>
      <c r="E659" s="24" t="s">
        <v>570</v>
      </c>
      <c r="F659" s="18">
        <v>6.7272999999999996</v>
      </c>
      <c r="G659" s="19">
        <v>1.7110000000000001</v>
      </c>
      <c r="H659" s="20">
        <v>1.5649999999999999</v>
      </c>
      <c r="I659" s="21">
        <v>473.34</v>
      </c>
      <c r="J659" s="20">
        <v>112.14570000000001</v>
      </c>
      <c r="K659" s="20">
        <v>108.86020000000001</v>
      </c>
    </row>
    <row r="660" spans="1:11" ht="14.25" customHeight="1" x14ac:dyDescent="0.2">
      <c r="A660" s="25" t="s">
        <v>795</v>
      </c>
      <c r="B660" s="4" t="s">
        <v>5</v>
      </c>
      <c r="C660" s="4"/>
      <c r="D660" s="5"/>
      <c r="E660" s="5"/>
      <c r="F660" s="10">
        <v>65.863699999999994</v>
      </c>
      <c r="G660" s="11">
        <v>45.340600000000002</v>
      </c>
      <c r="H660" s="12">
        <v>13.16</v>
      </c>
      <c r="I660" s="13">
        <v>4126.7388000000001</v>
      </c>
      <c r="J660" s="12">
        <v>2357.3103999999998</v>
      </c>
      <c r="K660" s="12">
        <v>741.50080000000003</v>
      </c>
    </row>
    <row r="661" spans="1:11" ht="15" customHeight="1" x14ac:dyDescent="0.2">
      <c r="A661" s="14" t="s">
        <v>572</v>
      </c>
      <c r="B661" s="15" t="s">
        <v>6</v>
      </c>
      <c r="C661" s="16"/>
      <c r="D661" s="17"/>
      <c r="E661" s="17"/>
      <c r="F661" s="18">
        <v>64.446200000000005</v>
      </c>
      <c r="G661" s="19">
        <v>43.039900000000003</v>
      </c>
      <c r="H661" s="20">
        <v>13.16</v>
      </c>
      <c r="I661" s="21">
        <v>4048.3544000000002</v>
      </c>
      <c r="J661" s="20">
        <v>2244.0173</v>
      </c>
      <c r="K661" s="20">
        <v>741.50080000000003</v>
      </c>
    </row>
    <row r="662" spans="1:11" ht="15" customHeight="1" x14ac:dyDescent="0.2">
      <c r="A662" s="22" t="s">
        <v>573</v>
      </c>
      <c r="B662" s="23" t="s">
        <v>8</v>
      </c>
      <c r="C662" s="23" t="s">
        <v>9</v>
      </c>
      <c r="D662" s="24" t="s">
        <v>64</v>
      </c>
      <c r="E662" s="24" t="s">
        <v>24</v>
      </c>
      <c r="F662" s="18">
        <v>53.944000000000003</v>
      </c>
      <c r="G662" s="19">
        <v>41.741</v>
      </c>
      <c r="H662" s="20">
        <v>12.7791</v>
      </c>
      <c r="I662" s="21">
        <v>3422.2186000000002</v>
      </c>
      <c r="J662" s="20">
        <v>2176.2671999999998</v>
      </c>
      <c r="K662" s="20">
        <v>723.71550000000002</v>
      </c>
    </row>
    <row r="663" spans="1:11" ht="15" customHeight="1" x14ac:dyDescent="0.2">
      <c r="A663" s="22" t="s">
        <v>574</v>
      </c>
      <c r="B663" s="23" t="s">
        <v>8</v>
      </c>
      <c r="C663" s="23" t="s">
        <v>9</v>
      </c>
      <c r="D663" s="24" t="s">
        <v>64</v>
      </c>
      <c r="E663" s="24" t="s">
        <v>42</v>
      </c>
      <c r="F663" s="18">
        <v>10.5024</v>
      </c>
      <c r="G663" s="19">
        <v>1.2988</v>
      </c>
      <c r="H663" s="20">
        <v>0.38090000000000002</v>
      </c>
      <c r="I663" s="21">
        <v>626.13580000000002</v>
      </c>
      <c r="J663" s="20">
        <v>67.750100000000003</v>
      </c>
      <c r="K663" s="20">
        <v>17.785299999999999</v>
      </c>
    </row>
    <row r="664" spans="1:11" ht="15" customHeight="1" x14ac:dyDescent="0.2">
      <c r="A664" s="14" t="s">
        <v>575</v>
      </c>
      <c r="B664" s="15" t="s">
        <v>6</v>
      </c>
      <c r="C664" s="16"/>
      <c r="D664" s="17"/>
      <c r="E664" s="17"/>
      <c r="F664" s="18">
        <v>1.4174</v>
      </c>
      <c r="G664" s="19">
        <v>2.3006000000000002</v>
      </c>
      <c r="H664" s="20"/>
      <c r="I664" s="21">
        <v>78.384500000000003</v>
      </c>
      <c r="J664" s="20">
        <v>113.29300000000001</v>
      </c>
      <c r="K664" s="20"/>
    </row>
    <row r="665" spans="1:11" ht="15" customHeight="1" x14ac:dyDescent="0.2">
      <c r="A665" s="22" t="s">
        <v>576</v>
      </c>
      <c r="B665" s="23" t="s">
        <v>8</v>
      </c>
      <c r="C665" s="23" t="s">
        <v>9</v>
      </c>
      <c r="D665" s="24" t="s">
        <v>20</v>
      </c>
      <c r="E665" s="24" t="s">
        <v>84</v>
      </c>
      <c r="F665" s="18">
        <v>1.4174</v>
      </c>
      <c r="G665" s="19">
        <v>2.3006000000000002</v>
      </c>
      <c r="H665" s="20"/>
      <c r="I665" s="21">
        <v>78.384500000000003</v>
      </c>
      <c r="J665" s="20">
        <v>113.29300000000001</v>
      </c>
      <c r="K665" s="20"/>
    </row>
    <row r="666" spans="1:11" ht="14.25" customHeight="1" x14ac:dyDescent="0.2">
      <c r="A666" s="25" t="s">
        <v>796</v>
      </c>
      <c r="B666" s="4" t="s">
        <v>5</v>
      </c>
      <c r="C666" s="4"/>
      <c r="D666" s="5"/>
      <c r="E666" s="5"/>
      <c r="F666" s="10">
        <v>2.9096000000000002</v>
      </c>
      <c r="G666" s="11">
        <v>6.0198</v>
      </c>
      <c r="H666" s="12">
        <v>5.5109000000000004</v>
      </c>
      <c r="I666" s="13">
        <v>55.366500000000002</v>
      </c>
      <c r="J666" s="12">
        <v>108.4705</v>
      </c>
      <c r="K666" s="12">
        <v>98.710099999999997</v>
      </c>
    </row>
    <row r="667" spans="1:11" ht="15" customHeight="1" x14ac:dyDescent="0.2">
      <c r="A667" s="14" t="s">
        <v>577</v>
      </c>
      <c r="B667" s="15" t="s">
        <v>6</v>
      </c>
      <c r="C667" s="16"/>
      <c r="D667" s="17"/>
      <c r="E667" s="17"/>
      <c r="F667" s="18">
        <v>2.9096000000000002</v>
      </c>
      <c r="G667" s="19">
        <v>6.0198</v>
      </c>
      <c r="H667" s="20">
        <v>5.5109000000000004</v>
      </c>
      <c r="I667" s="21">
        <v>55.366500000000002</v>
      </c>
      <c r="J667" s="20">
        <v>108.4705</v>
      </c>
      <c r="K667" s="20">
        <v>98.710099999999997</v>
      </c>
    </row>
    <row r="668" spans="1:11" ht="15" customHeight="1" x14ac:dyDescent="0.2">
      <c r="A668" s="22" t="s">
        <v>578</v>
      </c>
      <c r="B668" s="23" t="s">
        <v>8</v>
      </c>
      <c r="C668" s="23" t="s">
        <v>9</v>
      </c>
      <c r="D668" s="24" t="s">
        <v>69</v>
      </c>
      <c r="E668" s="24" t="s">
        <v>42</v>
      </c>
      <c r="F668" s="18">
        <v>2.9096000000000002</v>
      </c>
      <c r="G668" s="19">
        <v>6.0198</v>
      </c>
      <c r="H668" s="20">
        <v>5.5109000000000004</v>
      </c>
      <c r="I668" s="21">
        <v>55.366500000000002</v>
      </c>
      <c r="J668" s="20">
        <v>108.4705</v>
      </c>
      <c r="K668" s="20">
        <v>98.710099999999997</v>
      </c>
    </row>
    <row r="669" spans="1:11" ht="14.25" customHeight="1" x14ac:dyDescent="0.2">
      <c r="A669" s="25" t="s">
        <v>797</v>
      </c>
      <c r="B669" s="4" t="s">
        <v>5</v>
      </c>
      <c r="C669" s="4"/>
      <c r="D669" s="5"/>
      <c r="E669" s="5"/>
      <c r="F669" s="10"/>
      <c r="G669" s="11"/>
      <c r="H669" s="12">
        <v>9.1999999999999998E-3</v>
      </c>
      <c r="I669" s="13"/>
      <c r="J669" s="12"/>
      <c r="K669" s="12">
        <v>0.30320000000000003</v>
      </c>
    </row>
    <row r="670" spans="1:11" ht="15" customHeight="1" x14ac:dyDescent="0.2">
      <c r="A670" s="14" t="s">
        <v>579</v>
      </c>
      <c r="B670" s="15" t="s">
        <v>6</v>
      </c>
      <c r="C670" s="16"/>
      <c r="D670" s="17"/>
      <c r="E670" s="17"/>
      <c r="F670" s="18"/>
      <c r="G670" s="19"/>
      <c r="H670" s="20">
        <v>9.1999999999999998E-3</v>
      </c>
      <c r="I670" s="21"/>
      <c r="J670" s="20"/>
      <c r="K670" s="20">
        <v>0.30320000000000003</v>
      </c>
    </row>
    <row r="671" spans="1:11" ht="15" customHeight="1" x14ac:dyDescent="0.2">
      <c r="A671" s="22" t="s">
        <v>580</v>
      </c>
      <c r="B671" s="23" t="s">
        <v>8</v>
      </c>
      <c r="C671" s="23" t="s">
        <v>9</v>
      </c>
      <c r="D671" s="24" t="s">
        <v>20</v>
      </c>
      <c r="E671" s="24" t="s">
        <v>42</v>
      </c>
      <c r="F671" s="18"/>
      <c r="G671" s="19"/>
      <c r="H671" s="20">
        <v>9.1999999999999998E-3</v>
      </c>
      <c r="I671" s="21"/>
      <c r="J671" s="20"/>
      <c r="K671" s="20">
        <v>0.30320000000000003</v>
      </c>
    </row>
    <row r="672" spans="1:11" ht="14.25" customHeight="1" x14ac:dyDescent="0.2">
      <c r="A672" s="25" t="s">
        <v>798</v>
      </c>
      <c r="B672" s="4" t="s">
        <v>5</v>
      </c>
      <c r="C672" s="4"/>
      <c r="D672" s="5"/>
      <c r="E672" s="5"/>
      <c r="F672" s="10"/>
      <c r="G672" s="11"/>
      <c r="H672" s="12"/>
      <c r="I672" s="13"/>
      <c r="J672" s="12"/>
      <c r="K672" s="12"/>
    </row>
    <row r="673" spans="1:11" ht="15" customHeight="1" x14ac:dyDescent="0.2">
      <c r="A673" s="14" t="s">
        <v>581</v>
      </c>
      <c r="B673" s="15" t="s">
        <v>6</v>
      </c>
      <c r="C673" s="16"/>
      <c r="D673" s="17"/>
      <c r="E673" s="17"/>
      <c r="F673" s="18"/>
      <c r="G673" s="19"/>
      <c r="H673" s="20"/>
      <c r="I673" s="21"/>
      <c r="J673" s="20"/>
      <c r="K673" s="20"/>
    </row>
    <row r="674" spans="1:11" ht="15" customHeight="1" x14ac:dyDescent="0.2">
      <c r="A674" s="22" t="s">
        <v>582</v>
      </c>
      <c r="B674" s="23" t="s">
        <v>8</v>
      </c>
      <c r="C674" s="23" t="s">
        <v>9</v>
      </c>
      <c r="D674" s="24" t="s">
        <v>20</v>
      </c>
      <c r="E674" s="24" t="s">
        <v>42</v>
      </c>
      <c r="F674" s="18"/>
      <c r="G674" s="19"/>
      <c r="H674" s="20"/>
      <c r="I674" s="21"/>
      <c r="J674" s="20"/>
      <c r="K674" s="20"/>
    </row>
    <row r="675" spans="1:11" ht="14.25" customHeight="1" x14ac:dyDescent="0.2">
      <c r="A675" s="25" t="s">
        <v>799</v>
      </c>
      <c r="B675" s="4" t="s">
        <v>5</v>
      </c>
      <c r="C675" s="4"/>
      <c r="D675" s="5"/>
      <c r="E675" s="5"/>
      <c r="F675" s="10">
        <v>60.899500000000003</v>
      </c>
      <c r="G675" s="11">
        <v>35.979399999999998</v>
      </c>
      <c r="H675" s="12">
        <v>13.2829</v>
      </c>
      <c r="I675" s="13">
        <v>1646.9927</v>
      </c>
      <c r="J675" s="12">
        <v>1006.4904</v>
      </c>
      <c r="K675" s="12">
        <v>408.45429999999999</v>
      </c>
    </row>
    <row r="676" spans="1:11" ht="15" customHeight="1" x14ac:dyDescent="0.2">
      <c r="A676" s="14" t="s">
        <v>583</v>
      </c>
      <c r="B676" s="15" t="s">
        <v>6</v>
      </c>
      <c r="C676" s="16"/>
      <c r="D676" s="17"/>
      <c r="E676" s="17"/>
      <c r="F676" s="18">
        <v>1.7324999999999999</v>
      </c>
      <c r="G676" s="19">
        <v>2.7699999999999999E-2</v>
      </c>
      <c r="H676" s="20"/>
      <c r="I676" s="21">
        <v>34.565800000000003</v>
      </c>
      <c r="J676" s="20">
        <v>0.64290000000000003</v>
      </c>
      <c r="K676" s="20"/>
    </row>
    <row r="677" spans="1:11" ht="15" customHeight="1" x14ac:dyDescent="0.2">
      <c r="A677" s="22" t="s">
        <v>584</v>
      </c>
      <c r="B677" s="23" t="s">
        <v>8</v>
      </c>
      <c r="C677" s="23" t="s">
        <v>9</v>
      </c>
      <c r="D677" s="24" t="s">
        <v>20</v>
      </c>
      <c r="E677" s="24" t="s">
        <v>99</v>
      </c>
      <c r="F677" s="18">
        <v>0.35610000000000003</v>
      </c>
      <c r="G677" s="19"/>
      <c r="H677" s="20"/>
      <c r="I677" s="21">
        <v>5.6227</v>
      </c>
      <c r="J677" s="20"/>
      <c r="K677" s="20"/>
    </row>
    <row r="678" spans="1:11" ht="15" customHeight="1" x14ac:dyDescent="0.2">
      <c r="A678" s="22" t="s">
        <v>585</v>
      </c>
      <c r="B678" s="23" t="s">
        <v>8</v>
      </c>
      <c r="C678" s="23" t="s">
        <v>9</v>
      </c>
      <c r="D678" s="24" t="s">
        <v>10</v>
      </c>
      <c r="E678" s="24" t="s">
        <v>42</v>
      </c>
      <c r="F678" s="18">
        <v>1.3764000000000001</v>
      </c>
      <c r="G678" s="19">
        <v>2.7699999999999999E-2</v>
      </c>
      <c r="H678" s="20"/>
      <c r="I678" s="21">
        <v>28.943100000000001</v>
      </c>
      <c r="J678" s="20">
        <v>0.64290000000000003</v>
      </c>
      <c r="K678" s="20"/>
    </row>
    <row r="679" spans="1:11" ht="15" customHeight="1" x14ac:dyDescent="0.2">
      <c r="A679" s="14" t="s">
        <v>586</v>
      </c>
      <c r="B679" s="15" t="s">
        <v>6</v>
      </c>
      <c r="C679" s="16"/>
      <c r="D679" s="17"/>
      <c r="E679" s="17"/>
      <c r="F679" s="18">
        <v>38.935099999999998</v>
      </c>
      <c r="G679" s="19">
        <v>24.638200000000001</v>
      </c>
      <c r="H679" s="20">
        <v>13.2829</v>
      </c>
      <c r="I679" s="21">
        <v>1028.7485999999999</v>
      </c>
      <c r="J679" s="20">
        <v>660.65030000000002</v>
      </c>
      <c r="K679" s="20">
        <v>408.45429999999999</v>
      </c>
    </row>
    <row r="680" spans="1:11" ht="15" customHeight="1" x14ac:dyDescent="0.2">
      <c r="A680" s="22" t="s">
        <v>587</v>
      </c>
      <c r="B680" s="23" t="s">
        <v>8</v>
      </c>
      <c r="C680" s="23" t="s">
        <v>9</v>
      </c>
      <c r="D680" s="24" t="s">
        <v>30</v>
      </c>
      <c r="E680" s="24" t="s">
        <v>118</v>
      </c>
      <c r="F680" s="18">
        <v>6.7664999999999997</v>
      </c>
      <c r="G680" s="19">
        <v>0.54779999999999995</v>
      </c>
      <c r="H680" s="20"/>
      <c r="I680" s="21">
        <v>162.6651</v>
      </c>
      <c r="J680" s="20">
        <v>12.7288</v>
      </c>
      <c r="K680" s="20"/>
    </row>
    <row r="681" spans="1:11" ht="15" customHeight="1" x14ac:dyDescent="0.2">
      <c r="A681" s="22" t="s">
        <v>588</v>
      </c>
      <c r="B681" s="23" t="s">
        <v>8</v>
      </c>
      <c r="C681" s="23" t="s">
        <v>9</v>
      </c>
      <c r="D681" s="24" t="s">
        <v>30</v>
      </c>
      <c r="E681" s="24" t="s">
        <v>99</v>
      </c>
      <c r="F681" s="18">
        <v>14.513400000000001</v>
      </c>
      <c r="G681" s="19">
        <v>11.551399999999999</v>
      </c>
      <c r="H681" s="20">
        <v>8.6715</v>
      </c>
      <c r="I681" s="21">
        <v>383.46769999999998</v>
      </c>
      <c r="J681" s="20">
        <v>307.81580000000002</v>
      </c>
      <c r="K681" s="20">
        <v>255.3304</v>
      </c>
    </row>
    <row r="682" spans="1:11" ht="15" customHeight="1" x14ac:dyDescent="0.2">
      <c r="A682" s="22" t="s">
        <v>589</v>
      </c>
      <c r="B682" s="23" t="s">
        <v>8</v>
      </c>
      <c r="C682" s="23" t="s">
        <v>9</v>
      </c>
      <c r="D682" s="24" t="s">
        <v>30</v>
      </c>
      <c r="E682" s="24" t="s">
        <v>99</v>
      </c>
      <c r="F682" s="18">
        <v>17.654699999999998</v>
      </c>
      <c r="G682" s="19">
        <v>12.539</v>
      </c>
      <c r="H682" s="20">
        <v>4.6113</v>
      </c>
      <c r="I682" s="21">
        <v>482.61590000000001</v>
      </c>
      <c r="J682" s="20">
        <v>340.10579999999999</v>
      </c>
      <c r="K682" s="20">
        <v>153.12389999999999</v>
      </c>
    </row>
    <row r="683" spans="1:11" ht="15" customHeight="1" x14ac:dyDescent="0.2">
      <c r="A683" s="14" t="s">
        <v>590</v>
      </c>
      <c r="B683" s="15" t="s">
        <v>6</v>
      </c>
      <c r="C683" s="16"/>
      <c r="D683" s="17"/>
      <c r="E683" s="17"/>
      <c r="F683" s="18">
        <v>20.231999999999999</v>
      </c>
      <c r="G683" s="19">
        <v>11.313700000000001</v>
      </c>
      <c r="H683" s="20"/>
      <c r="I683" s="21">
        <v>583.67819999999995</v>
      </c>
      <c r="J683" s="20">
        <v>345.19709999999998</v>
      </c>
      <c r="K683" s="20"/>
    </row>
    <row r="684" spans="1:11" ht="15" customHeight="1" x14ac:dyDescent="0.2">
      <c r="A684" s="22" t="s">
        <v>826</v>
      </c>
      <c r="B684" s="23" t="s">
        <v>8</v>
      </c>
      <c r="C684" s="23" t="s">
        <v>9</v>
      </c>
      <c r="D684" s="24" t="s">
        <v>10</v>
      </c>
      <c r="E684" s="24" t="s">
        <v>24</v>
      </c>
      <c r="F684" s="18">
        <v>20.231999999999999</v>
      </c>
      <c r="G684" s="19">
        <v>11.313700000000001</v>
      </c>
      <c r="H684" s="20"/>
      <c r="I684" s="21">
        <v>583.67819999999995</v>
      </c>
      <c r="J684" s="20">
        <v>345.19709999999998</v>
      </c>
      <c r="K684" s="20"/>
    </row>
    <row r="685" spans="1:11" ht="15" customHeight="1" x14ac:dyDescent="0.2">
      <c r="A685" s="22" t="s">
        <v>591</v>
      </c>
      <c r="B685" s="23" t="s">
        <v>8</v>
      </c>
      <c r="C685" s="23" t="s">
        <v>9</v>
      </c>
      <c r="D685" s="24" t="s">
        <v>20</v>
      </c>
      <c r="E685" s="24" t="s">
        <v>42</v>
      </c>
      <c r="F685" s="18"/>
      <c r="G685" s="19"/>
      <c r="H685" s="20"/>
      <c r="I685" s="21"/>
      <c r="J685" s="20"/>
      <c r="K685" s="20"/>
    </row>
    <row r="686" spans="1:11" ht="14.25" customHeight="1" x14ac:dyDescent="0.2">
      <c r="A686" s="25" t="s">
        <v>800</v>
      </c>
      <c r="B686" s="4" t="s">
        <v>5</v>
      </c>
      <c r="C686" s="4"/>
      <c r="D686" s="5"/>
      <c r="E686" s="5"/>
      <c r="F686" s="10">
        <v>26.3474</v>
      </c>
      <c r="G686" s="11">
        <v>72.5916</v>
      </c>
      <c r="H686" s="12">
        <v>62.0075</v>
      </c>
      <c r="I686" s="13">
        <v>920.46799999999996</v>
      </c>
      <c r="J686" s="12">
        <v>3084.2015999999999</v>
      </c>
      <c r="K686" s="12">
        <v>2719.9431</v>
      </c>
    </row>
    <row r="687" spans="1:11" ht="15" customHeight="1" x14ac:dyDescent="0.2">
      <c r="A687" s="14" t="s">
        <v>592</v>
      </c>
      <c r="B687" s="15" t="s">
        <v>6</v>
      </c>
      <c r="C687" s="16"/>
      <c r="D687" s="17"/>
      <c r="E687" s="17"/>
      <c r="F687" s="18">
        <v>26.3474</v>
      </c>
      <c r="G687" s="19">
        <v>72.5916</v>
      </c>
      <c r="H687" s="20">
        <v>62.0075</v>
      </c>
      <c r="I687" s="21">
        <v>920.46799999999996</v>
      </c>
      <c r="J687" s="20">
        <v>3084.2015999999999</v>
      </c>
      <c r="K687" s="20">
        <v>2719.9431</v>
      </c>
    </row>
    <row r="688" spans="1:11" ht="15" customHeight="1" x14ac:dyDescent="0.2">
      <c r="A688" s="22" t="s">
        <v>593</v>
      </c>
      <c r="B688" s="23" t="s">
        <v>8</v>
      </c>
      <c r="C688" s="23" t="s">
        <v>9</v>
      </c>
      <c r="D688" s="24" t="s">
        <v>20</v>
      </c>
      <c r="E688" s="24" t="s">
        <v>24</v>
      </c>
      <c r="F688" s="18"/>
      <c r="G688" s="19">
        <v>20.586300000000001</v>
      </c>
      <c r="H688" s="20">
        <v>29.262499999999999</v>
      </c>
      <c r="I688" s="21"/>
      <c r="J688" s="20">
        <v>1265.0245</v>
      </c>
      <c r="K688" s="20">
        <v>1657.2372</v>
      </c>
    </row>
    <row r="689" spans="1:11" ht="15" customHeight="1" x14ac:dyDescent="0.2">
      <c r="A689" s="22" t="s">
        <v>594</v>
      </c>
      <c r="B689" s="23" t="s">
        <v>8</v>
      </c>
      <c r="C689" s="23" t="s">
        <v>9</v>
      </c>
      <c r="D689" s="24" t="s">
        <v>20</v>
      </c>
      <c r="E689" s="24" t="s">
        <v>42</v>
      </c>
      <c r="F689" s="18">
        <v>26.3474</v>
      </c>
      <c r="G689" s="19">
        <v>52.005499999999998</v>
      </c>
      <c r="H689" s="20">
        <v>32.744900000000001</v>
      </c>
      <c r="I689" s="21">
        <v>920.46799999999996</v>
      </c>
      <c r="J689" s="20">
        <v>1819.1769999999999</v>
      </c>
      <c r="K689" s="20">
        <v>1062.7058999999999</v>
      </c>
    </row>
    <row r="690" spans="1:11" ht="14.25" customHeight="1" x14ac:dyDescent="0.2">
      <c r="A690" s="25" t="s">
        <v>801</v>
      </c>
      <c r="B690" s="4" t="s">
        <v>5</v>
      </c>
      <c r="C690" s="4"/>
      <c r="D690" s="5"/>
      <c r="E690" s="5"/>
      <c r="F690" s="10">
        <v>0.97350000000000003</v>
      </c>
      <c r="G690" s="11">
        <v>1.3669</v>
      </c>
      <c r="H690" s="12">
        <v>0.25619999999999998</v>
      </c>
      <c r="I690" s="13">
        <v>4.9279999999999999</v>
      </c>
      <c r="J690" s="12">
        <v>7.3564999999999996</v>
      </c>
      <c r="K690" s="12">
        <v>1.4279999999999999</v>
      </c>
    </row>
    <row r="691" spans="1:11" ht="15" customHeight="1" x14ac:dyDescent="0.2">
      <c r="A691" s="14" t="s">
        <v>595</v>
      </c>
      <c r="B691" s="15" t="s">
        <v>6</v>
      </c>
      <c r="C691" s="16"/>
      <c r="D691" s="17"/>
      <c r="E691" s="17"/>
      <c r="F691" s="18">
        <v>0.97350000000000003</v>
      </c>
      <c r="G691" s="19">
        <v>1.3669</v>
      </c>
      <c r="H691" s="20">
        <v>0.25619999999999998</v>
      </c>
      <c r="I691" s="21">
        <v>4.9279999999999999</v>
      </c>
      <c r="J691" s="20">
        <v>7.3564999999999996</v>
      </c>
      <c r="K691" s="20">
        <v>1.4279999999999999</v>
      </c>
    </row>
    <row r="692" spans="1:11" ht="15" customHeight="1" x14ac:dyDescent="0.2">
      <c r="A692" s="22" t="s">
        <v>596</v>
      </c>
      <c r="B692" s="23" t="s">
        <v>8</v>
      </c>
      <c r="C692" s="23" t="s">
        <v>9</v>
      </c>
      <c r="D692" s="24" t="s">
        <v>10</v>
      </c>
      <c r="E692" s="24" t="s">
        <v>42</v>
      </c>
      <c r="F692" s="18">
        <v>0.1701</v>
      </c>
      <c r="G692" s="19">
        <v>0.71989999999999998</v>
      </c>
      <c r="H692" s="20">
        <v>4.9299999999999997E-2</v>
      </c>
      <c r="I692" s="21">
        <v>1.008</v>
      </c>
      <c r="J692" s="20">
        <v>3.8765000000000001</v>
      </c>
      <c r="K692" s="20">
        <v>0.28799999999999998</v>
      </c>
    </row>
    <row r="693" spans="1:11" ht="15" customHeight="1" x14ac:dyDescent="0.2">
      <c r="A693" s="22" t="s">
        <v>597</v>
      </c>
      <c r="B693" s="23" t="s">
        <v>8</v>
      </c>
      <c r="C693" s="23" t="s">
        <v>555</v>
      </c>
      <c r="D693" s="24" t="s">
        <v>10</v>
      </c>
      <c r="E693" s="24" t="s">
        <v>103</v>
      </c>
      <c r="F693" s="18">
        <v>0.8034</v>
      </c>
      <c r="G693" s="19">
        <v>0.64690000000000003</v>
      </c>
      <c r="H693" s="20">
        <v>0.2069</v>
      </c>
      <c r="I693" s="21">
        <v>3.92</v>
      </c>
      <c r="J693" s="20">
        <v>3.48</v>
      </c>
      <c r="K693" s="20">
        <v>1.1399999999999999</v>
      </c>
    </row>
    <row r="694" spans="1:11" ht="14.25" customHeight="1" x14ac:dyDescent="0.2">
      <c r="A694" s="25" t="s">
        <v>802</v>
      </c>
      <c r="B694" s="4" t="s">
        <v>5</v>
      </c>
      <c r="C694" s="4"/>
      <c r="D694" s="5"/>
      <c r="E694" s="5"/>
      <c r="F694" s="10">
        <v>18.511199999999999</v>
      </c>
      <c r="G694" s="11">
        <v>14.1861</v>
      </c>
      <c r="H694" s="12">
        <v>5.5843999999999996</v>
      </c>
      <c r="I694" s="13">
        <v>978.4941</v>
      </c>
      <c r="J694" s="12">
        <v>734.42629999999997</v>
      </c>
      <c r="K694" s="12">
        <v>305.17070000000001</v>
      </c>
    </row>
    <row r="695" spans="1:11" ht="15" customHeight="1" x14ac:dyDescent="0.2">
      <c r="A695" s="14" t="s">
        <v>598</v>
      </c>
      <c r="B695" s="15" t="s">
        <v>6</v>
      </c>
      <c r="C695" s="16"/>
      <c r="D695" s="17"/>
      <c r="E695" s="17"/>
      <c r="F695" s="18">
        <v>18.511199999999999</v>
      </c>
      <c r="G695" s="19">
        <v>14.1861</v>
      </c>
      <c r="H695" s="20">
        <v>5.5843999999999996</v>
      </c>
      <c r="I695" s="21">
        <v>978.4941</v>
      </c>
      <c r="J695" s="20">
        <v>734.42629999999997</v>
      </c>
      <c r="K695" s="20">
        <v>305.17070000000001</v>
      </c>
    </row>
    <row r="696" spans="1:11" ht="15" customHeight="1" x14ac:dyDescent="0.2">
      <c r="A696" s="22" t="s">
        <v>599</v>
      </c>
      <c r="B696" s="23" t="s">
        <v>8</v>
      </c>
      <c r="C696" s="23" t="s">
        <v>9</v>
      </c>
      <c r="D696" s="24" t="s">
        <v>20</v>
      </c>
      <c r="E696" s="24" t="s">
        <v>42</v>
      </c>
      <c r="F696" s="18">
        <v>16.393699999999999</v>
      </c>
      <c r="G696" s="19">
        <v>13.5199</v>
      </c>
      <c r="H696" s="20">
        <v>5.5843999999999996</v>
      </c>
      <c r="I696" s="21">
        <v>841.14940000000001</v>
      </c>
      <c r="J696" s="20">
        <v>693.07759999999996</v>
      </c>
      <c r="K696" s="20">
        <v>305.17070000000001</v>
      </c>
    </row>
    <row r="697" spans="1:11" ht="15" customHeight="1" x14ac:dyDescent="0.2">
      <c r="A697" s="22" t="s">
        <v>600</v>
      </c>
      <c r="B697" s="23" t="s">
        <v>8</v>
      </c>
      <c r="C697" s="23" t="s">
        <v>9</v>
      </c>
      <c r="D697" s="24" t="s">
        <v>20</v>
      </c>
      <c r="E697" s="24" t="s">
        <v>42</v>
      </c>
      <c r="F697" s="18">
        <v>2.1175000000000002</v>
      </c>
      <c r="G697" s="19">
        <v>0.66620000000000001</v>
      </c>
      <c r="H697" s="20"/>
      <c r="I697" s="21">
        <v>137.34479999999999</v>
      </c>
      <c r="J697" s="20">
        <v>41.348700000000001</v>
      </c>
      <c r="K697" s="20"/>
    </row>
    <row r="698" spans="1:11" ht="14.25" customHeight="1" x14ac:dyDescent="0.2">
      <c r="A698" s="25" t="s">
        <v>803</v>
      </c>
      <c r="B698" s="4" t="s">
        <v>5</v>
      </c>
      <c r="C698" s="4"/>
      <c r="D698" s="5"/>
      <c r="E698" s="5"/>
      <c r="F698" s="10">
        <v>632.96190000000001</v>
      </c>
      <c r="G698" s="11">
        <v>529.41039999999998</v>
      </c>
      <c r="H698" s="12">
        <v>262.13749999999999</v>
      </c>
      <c r="I698" s="13">
        <v>36136.764000000003</v>
      </c>
      <c r="J698" s="12">
        <v>28913.011500000001</v>
      </c>
      <c r="K698" s="12">
        <v>13646.2943</v>
      </c>
    </row>
    <row r="699" spans="1:11" ht="15" customHeight="1" x14ac:dyDescent="0.2">
      <c r="A699" s="14" t="s">
        <v>601</v>
      </c>
      <c r="B699" s="15" t="s">
        <v>6</v>
      </c>
      <c r="C699" s="16"/>
      <c r="D699" s="17"/>
      <c r="E699" s="17"/>
      <c r="F699" s="18">
        <v>1.9984999999999999</v>
      </c>
      <c r="G699" s="19">
        <v>3.2300000000000002E-2</v>
      </c>
      <c r="H699" s="20"/>
      <c r="I699" s="21">
        <v>141.71469999999999</v>
      </c>
      <c r="J699" s="20">
        <v>1.9971000000000001</v>
      </c>
      <c r="K699" s="20"/>
    </row>
    <row r="700" spans="1:11" ht="15" customHeight="1" x14ac:dyDescent="0.2">
      <c r="A700" s="22" t="s">
        <v>602</v>
      </c>
      <c r="B700" s="23" t="s">
        <v>8</v>
      </c>
      <c r="C700" s="23" t="s">
        <v>9</v>
      </c>
      <c r="D700" s="24" t="s">
        <v>20</v>
      </c>
      <c r="E700" s="24" t="s">
        <v>24</v>
      </c>
      <c r="F700" s="18">
        <v>1.9984999999999999</v>
      </c>
      <c r="G700" s="19">
        <v>3.2300000000000002E-2</v>
      </c>
      <c r="H700" s="20"/>
      <c r="I700" s="21">
        <v>141.71469999999999</v>
      </c>
      <c r="J700" s="20">
        <v>1.9971000000000001</v>
      </c>
      <c r="K700" s="20"/>
    </row>
    <row r="701" spans="1:11" ht="15" customHeight="1" x14ac:dyDescent="0.2">
      <c r="A701" s="14" t="s">
        <v>603</v>
      </c>
      <c r="B701" s="15" t="s">
        <v>6</v>
      </c>
      <c r="C701" s="16"/>
      <c r="D701" s="17"/>
      <c r="E701" s="17"/>
      <c r="F701" s="18">
        <v>306.92559999999997</v>
      </c>
      <c r="G701" s="19">
        <v>309.65649999999999</v>
      </c>
      <c r="H701" s="20">
        <v>149.7295</v>
      </c>
      <c r="I701" s="21">
        <v>16220.671399999999</v>
      </c>
      <c r="J701" s="20">
        <v>15817.5867</v>
      </c>
      <c r="K701" s="20">
        <v>7239.5672999999997</v>
      </c>
    </row>
    <row r="702" spans="1:11" ht="15" customHeight="1" x14ac:dyDescent="0.2">
      <c r="A702" s="22" t="s">
        <v>604</v>
      </c>
      <c r="B702" s="23" t="s">
        <v>8</v>
      </c>
      <c r="C702" s="23" t="s">
        <v>9</v>
      </c>
      <c r="D702" s="24" t="s">
        <v>30</v>
      </c>
      <c r="E702" s="24" t="s">
        <v>21</v>
      </c>
      <c r="F702" s="18">
        <v>136.17420000000001</v>
      </c>
      <c r="G702" s="19">
        <v>152.24180000000001</v>
      </c>
      <c r="H702" s="20">
        <v>70.924899999999994</v>
      </c>
      <c r="I702" s="21">
        <v>7155.8876</v>
      </c>
      <c r="J702" s="20">
        <v>7606.2596000000003</v>
      </c>
      <c r="K702" s="20">
        <v>3236.7058000000002</v>
      </c>
    </row>
    <row r="703" spans="1:11" ht="15" customHeight="1" x14ac:dyDescent="0.2">
      <c r="A703" s="22" t="s">
        <v>605</v>
      </c>
      <c r="B703" s="23" t="s">
        <v>8</v>
      </c>
      <c r="C703" s="23" t="s">
        <v>9</v>
      </c>
      <c r="D703" s="24" t="s">
        <v>20</v>
      </c>
      <c r="E703" s="24" t="s">
        <v>24</v>
      </c>
      <c r="F703" s="18">
        <v>166.38550000000001</v>
      </c>
      <c r="G703" s="19">
        <v>154.19909999999999</v>
      </c>
      <c r="H703" s="20">
        <v>78.409199999999998</v>
      </c>
      <c r="I703" s="21">
        <v>8805.9477000000006</v>
      </c>
      <c r="J703" s="20">
        <v>8032.0802000000003</v>
      </c>
      <c r="K703" s="20">
        <v>3983.7687000000001</v>
      </c>
    </row>
    <row r="704" spans="1:11" ht="15" customHeight="1" x14ac:dyDescent="0.2">
      <c r="A704" s="22" t="s">
        <v>606</v>
      </c>
      <c r="B704" s="23" t="s">
        <v>8</v>
      </c>
      <c r="C704" s="23" t="s">
        <v>9</v>
      </c>
      <c r="D704" s="24" t="s">
        <v>20</v>
      </c>
      <c r="E704" s="24" t="s">
        <v>42</v>
      </c>
      <c r="F704" s="18">
        <v>7.4499999999999997E-2</v>
      </c>
      <c r="G704" s="19"/>
      <c r="H704" s="20"/>
      <c r="I704" s="21">
        <v>5.2851999999999997</v>
      </c>
      <c r="J704" s="20"/>
      <c r="K704" s="20"/>
    </row>
    <row r="705" spans="1:11" ht="15" customHeight="1" x14ac:dyDescent="0.2">
      <c r="A705" s="22" t="s">
        <v>607</v>
      </c>
      <c r="B705" s="23" t="s">
        <v>8</v>
      </c>
      <c r="C705" s="23" t="s">
        <v>9</v>
      </c>
      <c r="D705" s="24" t="s">
        <v>10</v>
      </c>
      <c r="E705" s="24" t="s">
        <v>42</v>
      </c>
      <c r="F705" s="18">
        <v>4.2912999999999997</v>
      </c>
      <c r="G705" s="19">
        <v>3.2158000000000002</v>
      </c>
      <c r="H705" s="20">
        <v>0.39529999999999998</v>
      </c>
      <c r="I705" s="21">
        <v>253.55109999999999</v>
      </c>
      <c r="J705" s="20">
        <v>179.24690000000001</v>
      </c>
      <c r="K705" s="20">
        <v>19.092600000000001</v>
      </c>
    </row>
    <row r="706" spans="1:11" ht="15" customHeight="1" x14ac:dyDescent="0.2">
      <c r="A706" s="14" t="s">
        <v>608</v>
      </c>
      <c r="B706" s="15" t="s">
        <v>6</v>
      </c>
      <c r="C706" s="16"/>
      <c r="D706" s="17"/>
      <c r="E706" s="17"/>
      <c r="F706" s="18">
        <v>53.159100000000002</v>
      </c>
      <c r="G706" s="19">
        <v>28.811599999999999</v>
      </c>
      <c r="H706" s="20">
        <v>10.3498</v>
      </c>
      <c r="I706" s="21">
        <v>3425.3593000000001</v>
      </c>
      <c r="J706" s="20">
        <v>1685.9922999999999</v>
      </c>
      <c r="K706" s="20">
        <v>587.04769999999996</v>
      </c>
    </row>
    <row r="707" spans="1:11" ht="15" customHeight="1" x14ac:dyDescent="0.2">
      <c r="A707" s="22" t="s">
        <v>609</v>
      </c>
      <c r="B707" s="23" t="s">
        <v>8</v>
      </c>
      <c r="C707" s="23" t="s">
        <v>9</v>
      </c>
      <c r="D707" s="24" t="s">
        <v>64</v>
      </c>
      <c r="E707" s="24" t="s">
        <v>24</v>
      </c>
      <c r="F707" s="18">
        <v>12.5473</v>
      </c>
      <c r="G707" s="19">
        <v>21.5989</v>
      </c>
      <c r="H707" s="20">
        <v>10.3498</v>
      </c>
      <c r="I707" s="21">
        <v>734.85479999999995</v>
      </c>
      <c r="J707" s="20">
        <v>1234.4389000000001</v>
      </c>
      <c r="K707" s="20">
        <v>587.04769999999996</v>
      </c>
    </row>
    <row r="708" spans="1:11" ht="15" customHeight="1" x14ac:dyDescent="0.2">
      <c r="A708" s="22" t="s">
        <v>610</v>
      </c>
      <c r="B708" s="23" t="s">
        <v>8</v>
      </c>
      <c r="C708" s="23" t="s">
        <v>9</v>
      </c>
      <c r="D708" s="24" t="s">
        <v>64</v>
      </c>
      <c r="E708" s="24" t="s">
        <v>103</v>
      </c>
      <c r="F708" s="18">
        <v>0.68669999999999998</v>
      </c>
      <c r="G708" s="19"/>
      <c r="H708" s="20"/>
      <c r="I708" s="21">
        <v>52.465899999999998</v>
      </c>
      <c r="J708" s="20"/>
      <c r="K708" s="20"/>
    </row>
    <row r="709" spans="1:11" ht="15" customHeight="1" x14ac:dyDescent="0.2">
      <c r="A709" s="22" t="s">
        <v>611</v>
      </c>
      <c r="B709" s="23" t="s">
        <v>8</v>
      </c>
      <c r="C709" s="23" t="s">
        <v>9</v>
      </c>
      <c r="D709" s="24" t="s">
        <v>20</v>
      </c>
      <c r="E709" s="24" t="s">
        <v>42</v>
      </c>
      <c r="F709" s="18"/>
      <c r="G709" s="19"/>
      <c r="H709" s="20"/>
      <c r="I709" s="21"/>
      <c r="J709" s="20"/>
      <c r="K709" s="20"/>
    </row>
    <row r="710" spans="1:11" ht="15" customHeight="1" x14ac:dyDescent="0.2">
      <c r="A710" s="22" t="s">
        <v>612</v>
      </c>
      <c r="B710" s="23" t="s">
        <v>8</v>
      </c>
      <c r="C710" s="23" t="s">
        <v>9</v>
      </c>
      <c r="D710" s="24" t="s">
        <v>64</v>
      </c>
      <c r="E710" s="24" t="s">
        <v>42</v>
      </c>
      <c r="F710" s="18">
        <v>37.213999999999999</v>
      </c>
      <c r="G710" s="19">
        <v>7.2126999999999999</v>
      </c>
      <c r="H710" s="20"/>
      <c r="I710" s="21">
        <v>2501.2190000000001</v>
      </c>
      <c r="J710" s="20">
        <v>451.55340000000001</v>
      </c>
      <c r="K710" s="20"/>
    </row>
    <row r="711" spans="1:11" ht="15" customHeight="1" x14ac:dyDescent="0.2">
      <c r="A711" s="22" t="s">
        <v>613</v>
      </c>
      <c r="B711" s="23" t="s">
        <v>8</v>
      </c>
      <c r="C711" s="23" t="s">
        <v>9</v>
      </c>
      <c r="D711" s="24" t="s">
        <v>64</v>
      </c>
      <c r="E711" s="24" t="s">
        <v>68</v>
      </c>
      <c r="F711" s="18">
        <v>2.7111999999999998</v>
      </c>
      <c r="G711" s="19"/>
      <c r="H711" s="20"/>
      <c r="I711" s="21">
        <v>136.8194</v>
      </c>
      <c r="J711" s="20"/>
      <c r="K711" s="20"/>
    </row>
    <row r="712" spans="1:11" ht="15" customHeight="1" x14ac:dyDescent="0.2">
      <c r="A712" s="14" t="s">
        <v>614</v>
      </c>
      <c r="B712" s="15" t="s">
        <v>6</v>
      </c>
      <c r="C712" s="16"/>
      <c r="D712" s="17"/>
      <c r="E712" s="17"/>
      <c r="F712" s="18"/>
      <c r="G712" s="19">
        <v>19.032699999999998</v>
      </c>
      <c r="H712" s="20">
        <v>19.713699999999999</v>
      </c>
      <c r="I712" s="21"/>
      <c r="J712" s="20">
        <v>1111.0531000000001</v>
      </c>
      <c r="K712" s="20">
        <v>1063.3096</v>
      </c>
    </row>
    <row r="713" spans="1:11" ht="15" customHeight="1" x14ac:dyDescent="0.2">
      <c r="A713" s="22" t="s">
        <v>615</v>
      </c>
      <c r="B713" s="23" t="s">
        <v>8</v>
      </c>
      <c r="C713" s="23" t="s">
        <v>9</v>
      </c>
      <c r="D713" s="24" t="s">
        <v>64</v>
      </c>
      <c r="E713" s="24" t="s">
        <v>103</v>
      </c>
      <c r="F713" s="18"/>
      <c r="G713" s="19">
        <v>19.032699999999998</v>
      </c>
      <c r="H713" s="20">
        <v>19.713699999999999</v>
      </c>
      <c r="I713" s="21"/>
      <c r="J713" s="20">
        <v>1111.0531000000001</v>
      </c>
      <c r="K713" s="20">
        <v>1063.3096</v>
      </c>
    </row>
    <row r="714" spans="1:11" ht="15" customHeight="1" x14ac:dyDescent="0.2">
      <c r="A714" s="14" t="s">
        <v>616</v>
      </c>
      <c r="B714" s="15" t="s">
        <v>6</v>
      </c>
      <c r="C714" s="16"/>
      <c r="D714" s="17"/>
      <c r="E714" s="17"/>
      <c r="F714" s="18">
        <v>270.87889999999999</v>
      </c>
      <c r="G714" s="19">
        <v>171.8775</v>
      </c>
      <c r="H714" s="20">
        <v>82.344399999999993</v>
      </c>
      <c r="I714" s="21">
        <v>16349.0191</v>
      </c>
      <c r="J714" s="20">
        <v>10296.382799999999</v>
      </c>
      <c r="K714" s="20">
        <v>4756.37</v>
      </c>
    </row>
    <row r="715" spans="1:11" ht="15" customHeight="1" x14ac:dyDescent="0.2">
      <c r="A715" s="22" t="s">
        <v>617</v>
      </c>
      <c r="B715" s="23" t="s">
        <v>8</v>
      </c>
      <c r="C715" s="23" t="s">
        <v>9</v>
      </c>
      <c r="D715" s="24" t="s">
        <v>30</v>
      </c>
      <c r="E715" s="24" t="s">
        <v>21</v>
      </c>
      <c r="F715" s="18">
        <v>1.0042</v>
      </c>
      <c r="G715" s="19"/>
      <c r="H715" s="20"/>
      <c r="I715" s="21">
        <v>76.638000000000005</v>
      </c>
      <c r="J715" s="20"/>
      <c r="K715" s="20"/>
    </row>
    <row r="716" spans="1:11" ht="15" customHeight="1" x14ac:dyDescent="0.2">
      <c r="A716" s="22" t="s">
        <v>618</v>
      </c>
      <c r="B716" s="23" t="s">
        <v>8</v>
      </c>
      <c r="C716" s="23" t="s">
        <v>9</v>
      </c>
      <c r="D716" s="24" t="s">
        <v>20</v>
      </c>
      <c r="E716" s="24" t="s">
        <v>24</v>
      </c>
      <c r="F716" s="18">
        <v>251.465</v>
      </c>
      <c r="G716" s="19">
        <v>145.75579999999999</v>
      </c>
      <c r="H716" s="20">
        <v>77.822699999999998</v>
      </c>
      <c r="I716" s="21">
        <v>15122.0514</v>
      </c>
      <c r="J716" s="20">
        <v>8717.0684000000001</v>
      </c>
      <c r="K716" s="20">
        <v>4462.7493999999997</v>
      </c>
    </row>
    <row r="717" spans="1:11" ht="15" customHeight="1" x14ac:dyDescent="0.2">
      <c r="A717" s="22" t="s">
        <v>619</v>
      </c>
      <c r="B717" s="23" t="s">
        <v>8</v>
      </c>
      <c r="C717" s="23" t="s">
        <v>9</v>
      </c>
      <c r="D717" s="24" t="s">
        <v>30</v>
      </c>
      <c r="E717" s="24" t="s">
        <v>570</v>
      </c>
      <c r="F717" s="18">
        <v>15.856</v>
      </c>
      <c r="G717" s="19">
        <v>22.015000000000001</v>
      </c>
      <c r="H717" s="20">
        <v>3.4060000000000001</v>
      </c>
      <c r="I717" s="21">
        <v>1023.9475</v>
      </c>
      <c r="J717" s="20">
        <v>1391.8684000000001</v>
      </c>
      <c r="K717" s="20">
        <v>229.50649999999999</v>
      </c>
    </row>
    <row r="718" spans="1:11" ht="15" customHeight="1" x14ac:dyDescent="0.2">
      <c r="A718" s="22" t="s">
        <v>620</v>
      </c>
      <c r="B718" s="23" t="s">
        <v>8</v>
      </c>
      <c r="C718" s="23" t="s">
        <v>9</v>
      </c>
      <c r="D718" s="24" t="s">
        <v>20</v>
      </c>
      <c r="E718" s="24" t="s">
        <v>99</v>
      </c>
      <c r="F718" s="18"/>
      <c r="G718" s="19"/>
      <c r="H718" s="20">
        <v>0.28920000000000001</v>
      </c>
      <c r="I718" s="21"/>
      <c r="J718" s="20"/>
      <c r="K718" s="20">
        <v>17.3521</v>
      </c>
    </row>
    <row r="719" spans="1:11" ht="15" customHeight="1" x14ac:dyDescent="0.2">
      <c r="A719" s="22" t="s">
        <v>621</v>
      </c>
      <c r="B719" s="23" t="s">
        <v>8</v>
      </c>
      <c r="C719" s="23" t="s">
        <v>9</v>
      </c>
      <c r="D719" s="24" t="s">
        <v>20</v>
      </c>
      <c r="E719" s="24" t="s">
        <v>42</v>
      </c>
      <c r="F719" s="18">
        <v>2.5535999999999999</v>
      </c>
      <c r="G719" s="19">
        <v>3.8500999999999999</v>
      </c>
      <c r="H719" s="20">
        <v>0.82650000000000001</v>
      </c>
      <c r="I719" s="21">
        <v>126.3817</v>
      </c>
      <c r="J719" s="20">
        <v>174.249</v>
      </c>
      <c r="K719" s="20">
        <v>46.762</v>
      </c>
    </row>
    <row r="720" spans="1:11" ht="15" customHeight="1" x14ac:dyDescent="0.2">
      <c r="A720" s="22" t="s">
        <v>622</v>
      </c>
      <c r="B720" s="23" t="s">
        <v>8</v>
      </c>
      <c r="C720" s="23" t="s">
        <v>9</v>
      </c>
      <c r="D720" s="24" t="s">
        <v>20</v>
      </c>
      <c r="E720" s="24" t="s">
        <v>42</v>
      </c>
      <c r="F720" s="18"/>
      <c r="G720" s="19">
        <v>0.25659999999999999</v>
      </c>
      <c r="H720" s="20"/>
      <c r="I720" s="21"/>
      <c r="J720" s="20">
        <v>13.196899999999999</v>
      </c>
      <c r="K720" s="20"/>
    </row>
    <row r="721" spans="1:11" ht="14.25" customHeight="1" x14ac:dyDescent="0.2">
      <c r="A721" s="25" t="s">
        <v>804</v>
      </c>
      <c r="B721" s="4" t="s">
        <v>5</v>
      </c>
      <c r="C721" s="4"/>
      <c r="D721" s="5"/>
      <c r="E721" s="5"/>
      <c r="F721" s="10">
        <v>154.93469999999999</v>
      </c>
      <c r="G721" s="11">
        <v>154.98240000000001</v>
      </c>
      <c r="H721" s="12">
        <v>45.514299999999999</v>
      </c>
      <c r="I721" s="13">
        <v>4738.4238999999998</v>
      </c>
      <c r="J721" s="12">
        <v>5792.3320000000003</v>
      </c>
      <c r="K721" s="12">
        <v>1599.6686</v>
      </c>
    </row>
    <row r="722" spans="1:11" ht="15" customHeight="1" x14ac:dyDescent="0.2">
      <c r="A722" s="14" t="s">
        <v>623</v>
      </c>
      <c r="B722" s="15" t="s">
        <v>6</v>
      </c>
      <c r="C722" s="16"/>
      <c r="D722" s="17"/>
      <c r="E722" s="17"/>
      <c r="F722" s="18">
        <v>154.93469999999999</v>
      </c>
      <c r="G722" s="19">
        <v>154.98240000000001</v>
      </c>
      <c r="H722" s="20">
        <v>45.514299999999999</v>
      </c>
      <c r="I722" s="21">
        <v>4738.4238999999998</v>
      </c>
      <c r="J722" s="20">
        <v>5792.3320000000003</v>
      </c>
      <c r="K722" s="20">
        <v>1599.6686</v>
      </c>
    </row>
    <row r="723" spans="1:11" ht="15" customHeight="1" x14ac:dyDescent="0.2">
      <c r="A723" s="22" t="s">
        <v>624</v>
      </c>
      <c r="B723" s="23" t="s">
        <v>8</v>
      </c>
      <c r="C723" s="23" t="s">
        <v>9</v>
      </c>
      <c r="D723" s="24" t="s">
        <v>30</v>
      </c>
      <c r="E723" s="24" t="s">
        <v>376</v>
      </c>
      <c r="F723" s="18"/>
      <c r="G723" s="19">
        <v>0.5504</v>
      </c>
      <c r="H723" s="20">
        <v>0.74670000000000003</v>
      </c>
      <c r="I723" s="21"/>
      <c r="J723" s="20">
        <v>6.7556000000000003</v>
      </c>
      <c r="K723" s="20">
        <v>9.0073000000000008</v>
      </c>
    </row>
    <row r="724" spans="1:11" ht="15" customHeight="1" x14ac:dyDescent="0.2">
      <c r="A724" s="22" t="s">
        <v>625</v>
      </c>
      <c r="B724" s="23" t="s">
        <v>8</v>
      </c>
      <c r="C724" s="23" t="s">
        <v>9</v>
      </c>
      <c r="D724" s="24" t="s">
        <v>30</v>
      </c>
      <c r="E724" s="24" t="s">
        <v>11</v>
      </c>
      <c r="F724" s="18">
        <v>4.7511999999999999</v>
      </c>
      <c r="G724" s="19">
        <v>3.7549000000000001</v>
      </c>
      <c r="H724" s="20">
        <v>1.1405000000000001</v>
      </c>
      <c r="I724" s="21">
        <v>70.328999999999994</v>
      </c>
      <c r="J724" s="20">
        <v>55.465600000000002</v>
      </c>
      <c r="K724" s="20">
        <v>16.475899999999999</v>
      </c>
    </row>
    <row r="725" spans="1:11" ht="15" customHeight="1" x14ac:dyDescent="0.2">
      <c r="A725" s="22" t="s">
        <v>626</v>
      </c>
      <c r="B725" s="23" t="s">
        <v>8</v>
      </c>
      <c r="C725" s="23" t="s">
        <v>9</v>
      </c>
      <c r="D725" s="24" t="s">
        <v>10</v>
      </c>
      <c r="E725" s="24" t="s">
        <v>11</v>
      </c>
      <c r="F725" s="18">
        <v>1.23E-2</v>
      </c>
      <c r="G725" s="19">
        <v>2.7799999999999998E-2</v>
      </c>
      <c r="H725" s="20"/>
      <c r="I725" s="21">
        <v>0.18</v>
      </c>
      <c r="J725" s="20">
        <v>0.46179999999999999</v>
      </c>
      <c r="K725" s="20"/>
    </row>
    <row r="726" spans="1:11" ht="15" customHeight="1" x14ac:dyDescent="0.2">
      <c r="A726" s="22" t="s">
        <v>627</v>
      </c>
      <c r="B726" s="23" t="s">
        <v>8</v>
      </c>
      <c r="C726" s="23" t="s">
        <v>9</v>
      </c>
      <c r="D726" s="24" t="s">
        <v>64</v>
      </c>
      <c r="E726" s="24" t="s">
        <v>11</v>
      </c>
      <c r="F726" s="18">
        <v>11.1968</v>
      </c>
      <c r="G726" s="19">
        <v>6.3734000000000002</v>
      </c>
      <c r="H726" s="20">
        <v>1.3038000000000001</v>
      </c>
      <c r="I726" s="21">
        <v>170.3914</v>
      </c>
      <c r="J726" s="20">
        <v>94.576999999999998</v>
      </c>
      <c r="K726" s="20">
        <v>19.252400000000002</v>
      </c>
    </row>
    <row r="727" spans="1:11" ht="15" customHeight="1" x14ac:dyDescent="0.2">
      <c r="A727" s="22" t="s">
        <v>628</v>
      </c>
      <c r="B727" s="23" t="s">
        <v>8</v>
      </c>
      <c r="C727" s="23" t="s">
        <v>9</v>
      </c>
      <c r="D727" s="24" t="s">
        <v>64</v>
      </c>
      <c r="E727" s="24" t="s">
        <v>363</v>
      </c>
      <c r="F727" s="18"/>
      <c r="G727" s="19">
        <v>0.89970000000000006</v>
      </c>
      <c r="H727" s="20">
        <v>2.4813999999999998</v>
      </c>
      <c r="I727" s="21"/>
      <c r="J727" s="20">
        <v>21.057300000000001</v>
      </c>
      <c r="K727" s="20">
        <v>55.505499999999998</v>
      </c>
    </row>
    <row r="728" spans="1:11" ht="15" customHeight="1" x14ac:dyDescent="0.2">
      <c r="A728" s="22" t="s">
        <v>629</v>
      </c>
      <c r="B728" s="23" t="s">
        <v>8</v>
      </c>
      <c r="C728" s="23" t="s">
        <v>9</v>
      </c>
      <c r="D728" s="24" t="s">
        <v>30</v>
      </c>
      <c r="E728" s="24" t="s">
        <v>630</v>
      </c>
      <c r="F728" s="18">
        <v>2.3999999999999998E-3</v>
      </c>
      <c r="G728" s="19"/>
      <c r="H728" s="20"/>
      <c r="I728" s="21">
        <v>5.7000000000000002E-2</v>
      </c>
      <c r="J728" s="20"/>
      <c r="K728" s="20"/>
    </row>
    <row r="729" spans="1:11" ht="15" customHeight="1" x14ac:dyDescent="0.2">
      <c r="A729" s="22" t="s">
        <v>631</v>
      </c>
      <c r="B729" s="23" t="s">
        <v>8</v>
      </c>
      <c r="C729" s="23" t="s">
        <v>9</v>
      </c>
      <c r="D729" s="24" t="s">
        <v>10</v>
      </c>
      <c r="E729" s="24" t="s">
        <v>37</v>
      </c>
      <c r="F729" s="18">
        <v>0.22650000000000001</v>
      </c>
      <c r="G729" s="19"/>
      <c r="H729" s="20"/>
      <c r="I729" s="21">
        <v>7.2465999999999999</v>
      </c>
      <c r="J729" s="20"/>
      <c r="K729" s="20"/>
    </row>
    <row r="730" spans="1:11" ht="15" customHeight="1" x14ac:dyDescent="0.2">
      <c r="A730" s="22" t="s">
        <v>632</v>
      </c>
      <c r="B730" s="23" t="s">
        <v>8</v>
      </c>
      <c r="C730" s="23" t="s">
        <v>9</v>
      </c>
      <c r="D730" s="24" t="s">
        <v>20</v>
      </c>
      <c r="E730" s="24" t="s">
        <v>37</v>
      </c>
      <c r="F730" s="18">
        <v>0.74809999999999999</v>
      </c>
      <c r="G730" s="19"/>
      <c r="H730" s="20"/>
      <c r="I730" s="21">
        <v>25.650500000000001</v>
      </c>
      <c r="J730" s="20"/>
      <c r="K730" s="20"/>
    </row>
    <row r="731" spans="1:11" ht="15" customHeight="1" x14ac:dyDescent="0.2">
      <c r="A731" s="22" t="s">
        <v>633</v>
      </c>
      <c r="B731" s="23" t="s">
        <v>8</v>
      </c>
      <c r="C731" s="23" t="s">
        <v>9</v>
      </c>
      <c r="D731" s="24" t="s">
        <v>20</v>
      </c>
      <c r="E731" s="24" t="s">
        <v>37</v>
      </c>
      <c r="F731" s="18">
        <v>7.1352000000000002</v>
      </c>
      <c r="G731" s="19">
        <v>0.98229999999999995</v>
      </c>
      <c r="H731" s="20">
        <v>0.17499999999999999</v>
      </c>
      <c r="I731" s="21">
        <v>199.79089999999999</v>
      </c>
      <c r="J731" s="20">
        <v>31.398199999999999</v>
      </c>
      <c r="K731" s="20">
        <v>5.5553999999999997</v>
      </c>
    </row>
    <row r="732" spans="1:11" ht="15" customHeight="1" x14ac:dyDescent="0.2">
      <c r="A732" s="22" t="s">
        <v>634</v>
      </c>
      <c r="B732" s="23" t="s">
        <v>8</v>
      </c>
      <c r="C732" s="23" t="s">
        <v>9</v>
      </c>
      <c r="D732" s="24" t="s">
        <v>20</v>
      </c>
      <c r="E732" s="24" t="s">
        <v>37</v>
      </c>
      <c r="F732" s="18">
        <v>38.636499999999998</v>
      </c>
      <c r="G732" s="19">
        <v>25.403500000000001</v>
      </c>
      <c r="H732" s="20">
        <v>9.4920000000000009</v>
      </c>
      <c r="I732" s="21">
        <v>1064.7156</v>
      </c>
      <c r="J732" s="20">
        <v>712.85350000000005</v>
      </c>
      <c r="K732" s="20">
        <v>244.268</v>
      </c>
    </row>
    <row r="733" spans="1:11" ht="15" customHeight="1" x14ac:dyDescent="0.2">
      <c r="A733" s="22" t="s">
        <v>635</v>
      </c>
      <c r="B733" s="23" t="s">
        <v>8</v>
      </c>
      <c r="C733" s="23" t="s">
        <v>9</v>
      </c>
      <c r="D733" s="24" t="s">
        <v>64</v>
      </c>
      <c r="E733" s="24" t="s">
        <v>37</v>
      </c>
      <c r="F733" s="18"/>
      <c r="G733" s="19"/>
      <c r="H733" s="20"/>
      <c r="I733" s="21"/>
      <c r="J733" s="20"/>
      <c r="K733" s="20"/>
    </row>
    <row r="734" spans="1:11" ht="15" customHeight="1" x14ac:dyDescent="0.2">
      <c r="A734" s="22" t="s">
        <v>636</v>
      </c>
      <c r="B734" s="23" t="s">
        <v>8</v>
      </c>
      <c r="C734" s="23" t="s">
        <v>9</v>
      </c>
      <c r="D734" s="24" t="s">
        <v>64</v>
      </c>
      <c r="E734" s="24" t="s">
        <v>37</v>
      </c>
      <c r="F734" s="18">
        <v>3.0739999999999998</v>
      </c>
      <c r="G734" s="19">
        <v>0.314</v>
      </c>
      <c r="H734" s="20">
        <v>6.4199999999999993E-2</v>
      </c>
      <c r="I734" s="21">
        <v>79.571700000000007</v>
      </c>
      <c r="J734" s="20">
        <v>7.3994999999999997</v>
      </c>
      <c r="K734" s="20">
        <v>1.5809</v>
      </c>
    </row>
    <row r="735" spans="1:11" ht="15" customHeight="1" x14ac:dyDescent="0.2">
      <c r="A735" s="22" t="s">
        <v>637</v>
      </c>
      <c r="B735" s="23" t="s">
        <v>8</v>
      </c>
      <c r="C735" s="23" t="s">
        <v>9</v>
      </c>
      <c r="D735" s="24" t="s">
        <v>64</v>
      </c>
      <c r="E735" s="24" t="s">
        <v>37</v>
      </c>
      <c r="F735" s="18">
        <v>57.373899999999999</v>
      </c>
      <c r="G735" s="19">
        <v>28.978999999999999</v>
      </c>
      <c r="H735" s="20">
        <v>4.5244999999999997</v>
      </c>
      <c r="I735" s="21">
        <v>1605.2121</v>
      </c>
      <c r="J735" s="20">
        <v>798.29169999999999</v>
      </c>
      <c r="K735" s="20">
        <v>128.11799999999999</v>
      </c>
    </row>
    <row r="736" spans="1:11" ht="15" customHeight="1" x14ac:dyDescent="0.2">
      <c r="A736" s="22" t="s">
        <v>638</v>
      </c>
      <c r="B736" s="23" t="s">
        <v>8</v>
      </c>
      <c r="C736" s="23" t="s">
        <v>9</v>
      </c>
      <c r="D736" s="24" t="s">
        <v>30</v>
      </c>
      <c r="E736" s="24" t="s">
        <v>42</v>
      </c>
      <c r="F736" s="18">
        <v>0.84319999999999995</v>
      </c>
      <c r="G736" s="19"/>
      <c r="H736" s="20"/>
      <c r="I736" s="21">
        <v>38.896500000000003</v>
      </c>
      <c r="J736" s="20"/>
      <c r="K736" s="20"/>
    </row>
    <row r="737" spans="1:11" ht="15" customHeight="1" x14ac:dyDescent="0.2">
      <c r="A737" s="22" t="s">
        <v>639</v>
      </c>
      <c r="B737" s="23" t="s">
        <v>8</v>
      </c>
      <c r="C737" s="23" t="s">
        <v>9</v>
      </c>
      <c r="D737" s="24" t="s">
        <v>30</v>
      </c>
      <c r="E737" s="24" t="s">
        <v>640</v>
      </c>
      <c r="F737" s="18">
        <v>0.32700000000000001</v>
      </c>
      <c r="G737" s="19">
        <v>7.9399999999999998E-2</v>
      </c>
      <c r="H737" s="20"/>
      <c r="I737" s="21">
        <v>8.1380999999999997</v>
      </c>
      <c r="J737" s="20">
        <v>2.0009000000000001</v>
      </c>
      <c r="K737" s="20"/>
    </row>
    <row r="738" spans="1:11" ht="15" customHeight="1" x14ac:dyDescent="0.2">
      <c r="A738" s="22" t="s">
        <v>641</v>
      </c>
      <c r="B738" s="23" t="s">
        <v>8</v>
      </c>
      <c r="C738" s="23" t="s">
        <v>9</v>
      </c>
      <c r="D738" s="24" t="s">
        <v>30</v>
      </c>
      <c r="E738" s="24" t="s">
        <v>17</v>
      </c>
      <c r="F738" s="18">
        <v>30.607399999999998</v>
      </c>
      <c r="G738" s="19">
        <v>87.617999999999995</v>
      </c>
      <c r="H738" s="20">
        <v>25.586099999999998</v>
      </c>
      <c r="I738" s="21">
        <v>1468.2443000000001</v>
      </c>
      <c r="J738" s="20">
        <v>4062.0709999999999</v>
      </c>
      <c r="K738" s="20">
        <v>1119.9051999999999</v>
      </c>
    </row>
    <row r="739" spans="1:11" ht="14.25" customHeight="1" x14ac:dyDescent="0.2">
      <c r="A739" s="25" t="s">
        <v>805</v>
      </c>
      <c r="B739" s="4" t="s">
        <v>5</v>
      </c>
      <c r="C739" s="4"/>
      <c r="D739" s="5"/>
      <c r="E739" s="5"/>
      <c r="F739" s="10">
        <v>466.315</v>
      </c>
      <c r="G739" s="11">
        <v>321.99369999999999</v>
      </c>
      <c r="H739" s="12">
        <v>119.931</v>
      </c>
      <c r="I739" s="13">
        <v>27928.0566</v>
      </c>
      <c r="J739" s="12">
        <v>19049.5026</v>
      </c>
      <c r="K739" s="12">
        <v>6464.4501</v>
      </c>
    </row>
    <row r="740" spans="1:11" ht="15" customHeight="1" x14ac:dyDescent="0.2">
      <c r="A740" s="14" t="s">
        <v>642</v>
      </c>
      <c r="B740" s="15" t="s">
        <v>6</v>
      </c>
      <c r="C740" s="16"/>
      <c r="D740" s="17"/>
      <c r="E740" s="17"/>
      <c r="F740" s="18">
        <v>0.26200000000000001</v>
      </c>
      <c r="G740" s="19">
        <v>0.1656</v>
      </c>
      <c r="H740" s="20"/>
      <c r="I740" s="21">
        <v>18.860299999999999</v>
      </c>
      <c r="J740" s="20">
        <v>11.920500000000001</v>
      </c>
      <c r="K740" s="20"/>
    </row>
    <row r="741" spans="1:11" ht="15" customHeight="1" x14ac:dyDescent="0.2">
      <c r="A741" s="22" t="s">
        <v>643</v>
      </c>
      <c r="B741" s="23" t="s">
        <v>8</v>
      </c>
      <c r="C741" s="23" t="s">
        <v>9</v>
      </c>
      <c r="D741" s="24" t="s">
        <v>20</v>
      </c>
      <c r="E741" s="24" t="s">
        <v>42</v>
      </c>
      <c r="F741" s="18">
        <v>0.26200000000000001</v>
      </c>
      <c r="G741" s="19">
        <v>0.1656</v>
      </c>
      <c r="H741" s="20"/>
      <c r="I741" s="21">
        <v>18.860299999999999</v>
      </c>
      <c r="J741" s="20">
        <v>11.920500000000001</v>
      </c>
      <c r="K741" s="20"/>
    </row>
    <row r="742" spans="1:11" ht="15" customHeight="1" x14ac:dyDescent="0.2">
      <c r="A742" s="14" t="s">
        <v>644</v>
      </c>
      <c r="B742" s="15" t="s">
        <v>6</v>
      </c>
      <c r="C742" s="16"/>
      <c r="D742" s="17"/>
      <c r="E742" s="17"/>
      <c r="F742" s="18">
        <v>8.2482000000000006</v>
      </c>
      <c r="G742" s="19">
        <v>0.97330000000000005</v>
      </c>
      <c r="H742" s="20"/>
      <c r="I742" s="21">
        <v>505.78250000000003</v>
      </c>
      <c r="J742" s="20">
        <v>58.400799999999997</v>
      </c>
      <c r="K742" s="20"/>
    </row>
    <row r="743" spans="1:11" ht="15" customHeight="1" x14ac:dyDescent="0.2">
      <c r="A743" s="22" t="s">
        <v>645</v>
      </c>
      <c r="B743" s="23" t="s">
        <v>8</v>
      </c>
      <c r="C743" s="23" t="s">
        <v>9</v>
      </c>
      <c r="D743" s="24" t="s">
        <v>64</v>
      </c>
      <c r="E743" s="24" t="s">
        <v>24</v>
      </c>
      <c r="F743" s="18">
        <v>8.2482000000000006</v>
      </c>
      <c r="G743" s="19">
        <v>0.97330000000000005</v>
      </c>
      <c r="H743" s="20"/>
      <c r="I743" s="21">
        <v>505.78250000000003</v>
      </c>
      <c r="J743" s="20">
        <v>58.400799999999997</v>
      </c>
      <c r="K743" s="20"/>
    </row>
    <row r="744" spans="1:11" ht="15" customHeight="1" x14ac:dyDescent="0.2">
      <c r="A744" s="22" t="s">
        <v>646</v>
      </c>
      <c r="B744" s="23" t="s">
        <v>8</v>
      </c>
      <c r="C744" s="23" t="s">
        <v>9</v>
      </c>
      <c r="D744" s="24" t="s">
        <v>64</v>
      </c>
      <c r="E744" s="24" t="s">
        <v>42</v>
      </c>
      <c r="F744" s="18"/>
      <c r="G744" s="19"/>
      <c r="H744" s="20"/>
      <c r="I744" s="21"/>
      <c r="J744" s="20"/>
      <c r="K744" s="20"/>
    </row>
    <row r="745" spans="1:11" ht="15" customHeight="1" x14ac:dyDescent="0.2">
      <c r="A745" s="22" t="s">
        <v>647</v>
      </c>
      <c r="B745" s="23" t="s">
        <v>8</v>
      </c>
      <c r="C745" s="23" t="s">
        <v>9</v>
      </c>
      <c r="D745" s="24" t="s">
        <v>64</v>
      </c>
      <c r="E745" s="24" t="s">
        <v>42</v>
      </c>
      <c r="F745" s="18"/>
      <c r="G745" s="19"/>
      <c r="H745" s="20"/>
      <c r="I745" s="21"/>
      <c r="J745" s="20"/>
      <c r="K745" s="20"/>
    </row>
    <row r="746" spans="1:11" ht="15" customHeight="1" x14ac:dyDescent="0.2">
      <c r="A746" s="14" t="s">
        <v>648</v>
      </c>
      <c r="B746" s="15" t="s">
        <v>6</v>
      </c>
      <c r="C746" s="16"/>
      <c r="D746" s="17"/>
      <c r="E746" s="17"/>
      <c r="F746" s="18"/>
      <c r="G746" s="19"/>
      <c r="H746" s="20"/>
      <c r="I746" s="21"/>
      <c r="J746" s="20"/>
      <c r="K746" s="20"/>
    </row>
    <row r="747" spans="1:11" ht="15" customHeight="1" x14ac:dyDescent="0.2">
      <c r="A747" s="22" t="s">
        <v>649</v>
      </c>
      <c r="B747" s="23" t="s">
        <v>8</v>
      </c>
      <c r="C747" s="23" t="s">
        <v>9</v>
      </c>
      <c r="D747" s="24" t="s">
        <v>30</v>
      </c>
      <c r="E747" s="24" t="s">
        <v>21</v>
      </c>
      <c r="F747" s="18"/>
      <c r="G747" s="19"/>
      <c r="H747" s="20"/>
      <c r="I747" s="21"/>
      <c r="J747" s="20"/>
      <c r="K747" s="20"/>
    </row>
    <row r="748" spans="1:11" ht="15" customHeight="1" x14ac:dyDescent="0.2">
      <c r="A748" s="14" t="s">
        <v>650</v>
      </c>
      <c r="B748" s="15" t="s">
        <v>6</v>
      </c>
      <c r="C748" s="16"/>
      <c r="D748" s="17"/>
      <c r="E748" s="17"/>
      <c r="F748" s="18"/>
      <c r="G748" s="19"/>
      <c r="H748" s="20"/>
      <c r="I748" s="21"/>
      <c r="J748" s="20"/>
      <c r="K748" s="20"/>
    </row>
    <row r="749" spans="1:11" ht="15" customHeight="1" x14ac:dyDescent="0.2">
      <c r="A749" s="22" t="s">
        <v>651</v>
      </c>
      <c r="B749" s="23" t="s">
        <v>8</v>
      </c>
      <c r="C749" s="23" t="s">
        <v>9</v>
      </c>
      <c r="D749" s="24" t="s">
        <v>20</v>
      </c>
      <c r="E749" s="24" t="s">
        <v>42</v>
      </c>
      <c r="F749" s="18"/>
      <c r="G749" s="19"/>
      <c r="H749" s="20"/>
      <c r="I749" s="21"/>
      <c r="J749" s="20"/>
      <c r="K749" s="20"/>
    </row>
    <row r="750" spans="1:11" ht="15" customHeight="1" x14ac:dyDescent="0.2">
      <c r="A750" s="14" t="s">
        <v>652</v>
      </c>
      <c r="B750" s="15" t="s">
        <v>6</v>
      </c>
      <c r="C750" s="16"/>
      <c r="D750" s="17"/>
      <c r="E750" s="17"/>
      <c r="F750" s="18">
        <v>5.7763</v>
      </c>
      <c r="G750" s="19">
        <v>9.2917000000000005</v>
      </c>
      <c r="H750" s="20">
        <v>0.95250000000000001</v>
      </c>
      <c r="I750" s="21">
        <v>311.05720000000002</v>
      </c>
      <c r="J750" s="20">
        <v>539.97619999999995</v>
      </c>
      <c r="K750" s="20">
        <v>61.781700000000001</v>
      </c>
    </row>
    <row r="751" spans="1:11" ht="15" customHeight="1" x14ac:dyDescent="0.2">
      <c r="A751" s="22" t="s">
        <v>653</v>
      </c>
      <c r="B751" s="23" t="s">
        <v>8</v>
      </c>
      <c r="C751" s="23" t="s">
        <v>9</v>
      </c>
      <c r="D751" s="24" t="s">
        <v>30</v>
      </c>
      <c r="E751" s="24" t="s">
        <v>24</v>
      </c>
      <c r="F751" s="18">
        <v>5.7763</v>
      </c>
      <c r="G751" s="19">
        <v>9.2917000000000005</v>
      </c>
      <c r="H751" s="20">
        <v>0.95250000000000001</v>
      </c>
      <c r="I751" s="21">
        <v>311.05720000000002</v>
      </c>
      <c r="J751" s="20">
        <v>539.97619999999995</v>
      </c>
      <c r="K751" s="20">
        <v>61.781700000000001</v>
      </c>
    </row>
    <row r="752" spans="1:11" ht="15" customHeight="1" x14ac:dyDescent="0.2">
      <c r="A752" s="14" t="s">
        <v>654</v>
      </c>
      <c r="B752" s="15" t="s">
        <v>6</v>
      </c>
      <c r="C752" s="16"/>
      <c r="D752" s="17"/>
      <c r="E752" s="17"/>
      <c r="F752" s="18">
        <v>55.783799999999999</v>
      </c>
      <c r="G752" s="19">
        <v>57.806899999999999</v>
      </c>
      <c r="H752" s="20">
        <v>19.850100000000001</v>
      </c>
      <c r="I752" s="21">
        <v>3648.0401999999999</v>
      </c>
      <c r="J752" s="20">
        <v>4041.2568000000001</v>
      </c>
      <c r="K752" s="20">
        <v>1253.7541000000001</v>
      </c>
    </row>
    <row r="753" spans="1:11" ht="15" customHeight="1" x14ac:dyDescent="0.2">
      <c r="A753" s="22" t="s">
        <v>655</v>
      </c>
      <c r="B753" s="23" t="s">
        <v>8</v>
      </c>
      <c r="C753" s="23" t="s">
        <v>9</v>
      </c>
      <c r="D753" s="24" t="s">
        <v>20</v>
      </c>
      <c r="E753" s="24" t="s">
        <v>21</v>
      </c>
      <c r="F753" s="18">
        <v>55.7286</v>
      </c>
      <c r="G753" s="19">
        <v>53.311300000000003</v>
      </c>
      <c r="H753" s="20">
        <v>19.850100000000001</v>
      </c>
      <c r="I753" s="21">
        <v>3644.6801999999998</v>
      </c>
      <c r="J753" s="20">
        <v>3675.9913999999999</v>
      </c>
      <c r="K753" s="20">
        <v>1253.7541000000001</v>
      </c>
    </row>
    <row r="754" spans="1:11" ht="15" customHeight="1" x14ac:dyDescent="0.2">
      <c r="A754" s="22" t="s">
        <v>656</v>
      </c>
      <c r="B754" s="23" t="s">
        <v>8</v>
      </c>
      <c r="C754" s="23" t="s">
        <v>9</v>
      </c>
      <c r="D754" s="24" t="s">
        <v>30</v>
      </c>
      <c r="E754" s="24" t="s">
        <v>24</v>
      </c>
      <c r="F754" s="18"/>
      <c r="G754" s="19">
        <v>4.4955999999999996</v>
      </c>
      <c r="H754" s="20"/>
      <c r="I754" s="21"/>
      <c r="J754" s="20">
        <v>365.2654</v>
      </c>
      <c r="K754" s="20"/>
    </row>
    <row r="755" spans="1:11" ht="15" customHeight="1" x14ac:dyDescent="0.2">
      <c r="A755" s="22" t="s">
        <v>657</v>
      </c>
      <c r="B755" s="23" t="s">
        <v>8</v>
      </c>
      <c r="C755" s="23" t="s">
        <v>9</v>
      </c>
      <c r="D755" s="24" t="s">
        <v>20</v>
      </c>
      <c r="E755" s="24" t="s">
        <v>103</v>
      </c>
      <c r="F755" s="18">
        <v>5.5199999999999999E-2</v>
      </c>
      <c r="G755" s="19"/>
      <c r="H755" s="20"/>
      <c r="I755" s="21">
        <v>3.36</v>
      </c>
      <c r="J755" s="20"/>
      <c r="K755" s="20"/>
    </row>
    <row r="756" spans="1:11" ht="15" customHeight="1" x14ac:dyDescent="0.2">
      <c r="A756" s="14" t="s">
        <v>658</v>
      </c>
      <c r="B756" s="15" t="s">
        <v>6</v>
      </c>
      <c r="C756" s="16"/>
      <c r="D756" s="17"/>
      <c r="E756" s="17"/>
      <c r="F756" s="18">
        <v>396.2448</v>
      </c>
      <c r="G756" s="19">
        <v>253.72479999999999</v>
      </c>
      <c r="H756" s="20">
        <v>99.128500000000003</v>
      </c>
      <c r="I756" s="21">
        <v>23444.316599999998</v>
      </c>
      <c r="J756" s="20">
        <v>14396.6903</v>
      </c>
      <c r="K756" s="20">
        <v>5148.9142000000002</v>
      </c>
    </row>
    <row r="757" spans="1:11" ht="15" customHeight="1" x14ac:dyDescent="0.2">
      <c r="A757" s="22" t="s">
        <v>659</v>
      </c>
      <c r="B757" s="23" t="s">
        <v>8</v>
      </c>
      <c r="C757" s="23" t="s">
        <v>9</v>
      </c>
      <c r="D757" s="24" t="s">
        <v>20</v>
      </c>
      <c r="E757" s="24" t="s">
        <v>24</v>
      </c>
      <c r="F757" s="18">
        <v>5.3959999999999999</v>
      </c>
      <c r="G757" s="19">
        <v>7.0095999999999998</v>
      </c>
      <c r="H757" s="20">
        <v>3.0608</v>
      </c>
      <c r="I757" s="21">
        <v>290.08819999999997</v>
      </c>
      <c r="J757" s="20">
        <v>393.84969999999998</v>
      </c>
      <c r="K757" s="20">
        <v>158.0343</v>
      </c>
    </row>
    <row r="758" spans="1:11" ht="15" customHeight="1" x14ac:dyDescent="0.2">
      <c r="A758" s="22" t="s">
        <v>660</v>
      </c>
      <c r="B758" s="23" t="s">
        <v>8</v>
      </c>
      <c r="C758" s="23" t="s">
        <v>9</v>
      </c>
      <c r="D758" s="24" t="s">
        <v>30</v>
      </c>
      <c r="E758" s="24" t="s">
        <v>661</v>
      </c>
      <c r="F758" s="18">
        <v>39.775100000000002</v>
      </c>
      <c r="G758" s="19">
        <v>29.160399999999999</v>
      </c>
      <c r="H758" s="20">
        <v>6.0876999999999999</v>
      </c>
      <c r="I758" s="21">
        <v>2342.4566</v>
      </c>
      <c r="J758" s="20">
        <v>1534.7882999999999</v>
      </c>
      <c r="K758" s="20">
        <v>287.5865</v>
      </c>
    </row>
    <row r="759" spans="1:11" ht="15" customHeight="1" x14ac:dyDescent="0.2">
      <c r="A759" s="22" t="s">
        <v>662</v>
      </c>
      <c r="B759" s="23" t="s">
        <v>8</v>
      </c>
      <c r="C759" s="23" t="s">
        <v>9</v>
      </c>
      <c r="D759" s="24" t="s">
        <v>20</v>
      </c>
      <c r="E759" s="24" t="s">
        <v>42</v>
      </c>
      <c r="F759" s="18">
        <v>73.361099999999993</v>
      </c>
      <c r="G759" s="19">
        <v>57.603700000000003</v>
      </c>
      <c r="H759" s="20">
        <v>12.2355</v>
      </c>
      <c r="I759" s="21">
        <v>4307.2969000000003</v>
      </c>
      <c r="J759" s="20">
        <v>3235.6705999999999</v>
      </c>
      <c r="K759" s="20">
        <v>650.06870000000004</v>
      </c>
    </row>
    <row r="760" spans="1:11" ht="15" customHeight="1" x14ac:dyDescent="0.2">
      <c r="A760" s="22" t="s">
        <v>663</v>
      </c>
      <c r="B760" s="23" t="s">
        <v>8</v>
      </c>
      <c r="C760" s="23" t="s">
        <v>9</v>
      </c>
      <c r="D760" s="24" t="s">
        <v>20</v>
      </c>
      <c r="E760" s="24" t="s">
        <v>42</v>
      </c>
      <c r="F760" s="18">
        <v>7.6637000000000004</v>
      </c>
      <c r="G760" s="19">
        <v>5.7187999999999999</v>
      </c>
      <c r="H760" s="20">
        <v>3.4293999999999998</v>
      </c>
      <c r="I760" s="21">
        <v>412.75630000000001</v>
      </c>
      <c r="J760" s="20">
        <v>314.68810000000002</v>
      </c>
      <c r="K760" s="20">
        <v>185.42320000000001</v>
      </c>
    </row>
    <row r="761" spans="1:11" ht="15" customHeight="1" x14ac:dyDescent="0.2">
      <c r="A761" s="22" t="s">
        <v>664</v>
      </c>
      <c r="B761" s="23" t="s">
        <v>8</v>
      </c>
      <c r="C761" s="23" t="s">
        <v>9</v>
      </c>
      <c r="D761" s="24" t="s">
        <v>20</v>
      </c>
      <c r="E761" s="24" t="s">
        <v>42</v>
      </c>
      <c r="F761" s="18">
        <v>97.800700000000006</v>
      </c>
      <c r="G761" s="19">
        <v>61.680799999999998</v>
      </c>
      <c r="H761" s="20">
        <v>23.825800000000001</v>
      </c>
      <c r="I761" s="21">
        <v>4426.3535000000002</v>
      </c>
      <c r="J761" s="20">
        <v>2861.6763999999998</v>
      </c>
      <c r="K761" s="20">
        <v>975.65369999999996</v>
      </c>
    </row>
    <row r="762" spans="1:11" ht="15" customHeight="1" x14ac:dyDescent="0.2">
      <c r="A762" s="22" t="s">
        <v>665</v>
      </c>
      <c r="B762" s="23" t="s">
        <v>8</v>
      </c>
      <c r="C762" s="23" t="s">
        <v>9</v>
      </c>
      <c r="D762" s="24" t="s">
        <v>20</v>
      </c>
      <c r="E762" s="24" t="s">
        <v>17</v>
      </c>
      <c r="F762" s="18">
        <v>137.74010000000001</v>
      </c>
      <c r="G762" s="19">
        <v>71.2029</v>
      </c>
      <c r="H762" s="20">
        <v>36.735799999999998</v>
      </c>
      <c r="I762" s="21">
        <v>9592.0316999999995</v>
      </c>
      <c r="J762" s="20">
        <v>4713.7775000000001</v>
      </c>
      <c r="K762" s="20">
        <v>2155.8667</v>
      </c>
    </row>
    <row r="763" spans="1:11" ht="15" customHeight="1" x14ac:dyDescent="0.2">
      <c r="A763" s="22" t="s">
        <v>666</v>
      </c>
      <c r="B763" s="23" t="s">
        <v>8</v>
      </c>
      <c r="C763" s="23" t="s">
        <v>9</v>
      </c>
      <c r="D763" s="24" t="s">
        <v>30</v>
      </c>
      <c r="E763" s="24" t="s">
        <v>17</v>
      </c>
      <c r="F763" s="18">
        <v>34.508099999999999</v>
      </c>
      <c r="G763" s="19">
        <v>21.348800000000001</v>
      </c>
      <c r="H763" s="20">
        <v>13.753299999999999</v>
      </c>
      <c r="I763" s="21">
        <v>2073.3334</v>
      </c>
      <c r="J763" s="20">
        <v>1342.2397000000001</v>
      </c>
      <c r="K763" s="20">
        <v>736.28099999999995</v>
      </c>
    </row>
    <row r="764" spans="1:11" ht="15" customHeight="1" x14ac:dyDescent="0.2">
      <c r="A764" s="14" t="s">
        <v>667</v>
      </c>
      <c r="B764" s="15" t="s">
        <v>6</v>
      </c>
      <c r="C764" s="16"/>
      <c r="D764" s="17"/>
      <c r="E764" s="17"/>
      <c r="F764" s="18"/>
      <c r="G764" s="19"/>
      <c r="H764" s="20"/>
      <c r="I764" s="21"/>
      <c r="J764" s="20"/>
      <c r="K764" s="20"/>
    </row>
    <row r="765" spans="1:11" ht="15" customHeight="1" x14ac:dyDescent="0.2">
      <c r="A765" s="22" t="s">
        <v>668</v>
      </c>
      <c r="B765" s="23" t="s">
        <v>8</v>
      </c>
      <c r="C765" s="23" t="s">
        <v>9</v>
      </c>
      <c r="D765" s="24" t="s">
        <v>20</v>
      </c>
      <c r="E765" s="24" t="s">
        <v>42</v>
      </c>
      <c r="F765" s="18"/>
      <c r="G765" s="19"/>
      <c r="H765" s="20"/>
      <c r="I765" s="21"/>
      <c r="J765" s="20"/>
      <c r="K765" s="20"/>
    </row>
    <row r="766" spans="1:11" ht="15" customHeight="1" x14ac:dyDescent="0.2">
      <c r="A766" s="14" t="s">
        <v>669</v>
      </c>
      <c r="B766" s="15" t="s">
        <v>6</v>
      </c>
      <c r="C766" s="16"/>
      <c r="D766" s="17"/>
      <c r="E766" s="17"/>
      <c r="F766" s="18"/>
      <c r="G766" s="19">
        <v>3.1300000000000001E-2</v>
      </c>
      <c r="H766" s="20"/>
      <c r="I766" s="21"/>
      <c r="J766" s="20">
        <v>1.2579</v>
      </c>
      <c r="K766" s="20"/>
    </row>
    <row r="767" spans="1:11" ht="15" customHeight="1" x14ac:dyDescent="0.2">
      <c r="A767" s="22" t="s">
        <v>670</v>
      </c>
      <c r="B767" s="23" t="s">
        <v>8</v>
      </c>
      <c r="C767" s="23" t="s">
        <v>9</v>
      </c>
      <c r="D767" s="24" t="s">
        <v>20</v>
      </c>
      <c r="E767" s="24" t="s">
        <v>42</v>
      </c>
      <c r="F767" s="18"/>
      <c r="G767" s="19">
        <v>3.1300000000000001E-2</v>
      </c>
      <c r="H767" s="20"/>
      <c r="I767" s="21"/>
      <c r="J767" s="20">
        <v>1.2579</v>
      </c>
      <c r="K767" s="20"/>
    </row>
    <row r="768" spans="1:11" ht="14.25" customHeight="1" x14ac:dyDescent="0.2">
      <c r="A768" s="25" t="s">
        <v>806</v>
      </c>
      <c r="B768" s="4" t="s">
        <v>5</v>
      </c>
      <c r="C768" s="4"/>
      <c r="D768" s="5"/>
      <c r="E768" s="5"/>
      <c r="F768" s="10">
        <v>0.1459</v>
      </c>
      <c r="G768" s="11">
        <v>0.29930000000000001</v>
      </c>
      <c r="H768" s="12">
        <v>5.04E-2</v>
      </c>
      <c r="I768" s="13">
        <v>2.8885999999999998</v>
      </c>
      <c r="J768" s="12">
        <v>6.5743</v>
      </c>
      <c r="K768" s="12">
        <v>1.1331</v>
      </c>
    </row>
    <row r="769" spans="1:11" ht="15" customHeight="1" x14ac:dyDescent="0.2">
      <c r="A769" s="14" t="s">
        <v>671</v>
      </c>
      <c r="B769" s="15" t="s">
        <v>6</v>
      </c>
      <c r="C769" s="16"/>
      <c r="D769" s="17"/>
      <c r="E769" s="17"/>
      <c r="F769" s="18">
        <v>0.1459</v>
      </c>
      <c r="G769" s="19">
        <v>0.29930000000000001</v>
      </c>
      <c r="H769" s="20">
        <v>5.04E-2</v>
      </c>
      <c r="I769" s="21">
        <v>2.8885999999999998</v>
      </c>
      <c r="J769" s="20">
        <v>6.5743</v>
      </c>
      <c r="K769" s="20">
        <v>1.1331</v>
      </c>
    </row>
    <row r="770" spans="1:11" ht="15" customHeight="1" x14ac:dyDescent="0.2">
      <c r="A770" s="22" t="s">
        <v>672</v>
      </c>
      <c r="B770" s="23" t="s">
        <v>8</v>
      </c>
      <c r="C770" s="23" t="s">
        <v>9</v>
      </c>
      <c r="D770" s="24" t="s">
        <v>64</v>
      </c>
      <c r="E770" s="24" t="s">
        <v>99</v>
      </c>
      <c r="F770" s="18">
        <v>7.7399999999999997E-2</v>
      </c>
      <c r="G770" s="19">
        <v>0.20100000000000001</v>
      </c>
      <c r="H770" s="20">
        <v>1.1599999999999999E-2</v>
      </c>
      <c r="I770" s="21">
        <v>1.2943</v>
      </c>
      <c r="J770" s="20">
        <v>3.8485999999999998</v>
      </c>
      <c r="K770" s="20">
        <v>0.1971</v>
      </c>
    </row>
    <row r="771" spans="1:11" ht="15" customHeight="1" x14ac:dyDescent="0.2">
      <c r="A771" s="22" t="s">
        <v>673</v>
      </c>
      <c r="B771" s="23" t="s">
        <v>8</v>
      </c>
      <c r="C771" s="23" t="s">
        <v>9</v>
      </c>
      <c r="D771" s="24" t="s">
        <v>20</v>
      </c>
      <c r="E771" s="24" t="s">
        <v>42</v>
      </c>
      <c r="F771" s="18">
        <v>6.8400000000000002E-2</v>
      </c>
      <c r="G771" s="19">
        <v>9.8500000000000004E-2</v>
      </c>
      <c r="H771" s="20">
        <v>3.8800000000000001E-2</v>
      </c>
      <c r="I771" s="21">
        <v>1.5943000000000001</v>
      </c>
      <c r="J771" s="20">
        <v>2.7256999999999998</v>
      </c>
      <c r="K771" s="20">
        <v>0.93600000000000005</v>
      </c>
    </row>
    <row r="772" spans="1:11" ht="14.25" customHeight="1" x14ac:dyDescent="0.2">
      <c r="A772" s="25" t="s">
        <v>807</v>
      </c>
      <c r="B772" s="4" t="s">
        <v>5</v>
      </c>
      <c r="C772" s="4"/>
      <c r="D772" s="5"/>
      <c r="E772" s="5"/>
      <c r="F772" s="10">
        <v>5.2523</v>
      </c>
      <c r="G772" s="11"/>
      <c r="H772" s="12"/>
      <c r="I772" s="13">
        <v>269.2595</v>
      </c>
      <c r="J772" s="12"/>
      <c r="K772" s="12"/>
    </row>
    <row r="773" spans="1:11" ht="15" customHeight="1" x14ac:dyDescent="0.2">
      <c r="A773" s="14" t="s">
        <v>674</v>
      </c>
      <c r="B773" s="15" t="s">
        <v>6</v>
      </c>
      <c r="C773" s="16"/>
      <c r="D773" s="17"/>
      <c r="E773" s="17"/>
      <c r="F773" s="18">
        <v>5.2523</v>
      </c>
      <c r="G773" s="19"/>
      <c r="H773" s="20"/>
      <c r="I773" s="21">
        <v>269.2595</v>
      </c>
      <c r="J773" s="20"/>
      <c r="K773" s="20"/>
    </row>
    <row r="774" spans="1:11" ht="15" customHeight="1" x14ac:dyDescent="0.2">
      <c r="A774" s="22" t="s">
        <v>675</v>
      </c>
      <c r="B774" s="23" t="s">
        <v>8</v>
      </c>
      <c r="C774" s="23" t="s">
        <v>9</v>
      </c>
      <c r="D774" s="24" t="s">
        <v>20</v>
      </c>
      <c r="E774" s="24" t="s">
        <v>21</v>
      </c>
      <c r="F774" s="18">
        <v>1.2095</v>
      </c>
      <c r="G774" s="19"/>
      <c r="H774" s="20"/>
      <c r="I774" s="21">
        <v>58.601599999999998</v>
      </c>
      <c r="J774" s="20"/>
      <c r="K774" s="20"/>
    </row>
    <row r="775" spans="1:11" ht="15" customHeight="1" x14ac:dyDescent="0.2">
      <c r="A775" s="22" t="s">
        <v>676</v>
      </c>
      <c r="B775" s="23" t="s">
        <v>8</v>
      </c>
      <c r="C775" s="23" t="s">
        <v>9</v>
      </c>
      <c r="D775" s="24" t="s">
        <v>20</v>
      </c>
      <c r="E775" s="24" t="s">
        <v>21</v>
      </c>
      <c r="F775" s="18"/>
      <c r="G775" s="19"/>
      <c r="H775" s="20"/>
      <c r="I775" s="21"/>
      <c r="J775" s="20"/>
      <c r="K775" s="20"/>
    </row>
    <row r="776" spans="1:11" ht="15" customHeight="1" x14ac:dyDescent="0.2">
      <c r="A776" s="22" t="s">
        <v>677</v>
      </c>
      <c r="B776" s="23" t="s">
        <v>8</v>
      </c>
      <c r="C776" s="23" t="s">
        <v>9</v>
      </c>
      <c r="D776" s="24" t="s">
        <v>20</v>
      </c>
      <c r="E776" s="24" t="s">
        <v>24</v>
      </c>
      <c r="F776" s="18">
        <v>3.4049</v>
      </c>
      <c r="G776" s="19"/>
      <c r="H776" s="20"/>
      <c r="I776" s="21">
        <v>181.5942</v>
      </c>
      <c r="J776" s="20"/>
      <c r="K776" s="20"/>
    </row>
    <row r="777" spans="1:11" ht="15" customHeight="1" x14ac:dyDescent="0.2">
      <c r="A777" s="22" t="s">
        <v>678</v>
      </c>
      <c r="B777" s="23" t="s">
        <v>8</v>
      </c>
      <c r="C777" s="23" t="s">
        <v>9</v>
      </c>
      <c r="D777" s="24" t="s">
        <v>20</v>
      </c>
      <c r="E777" s="24" t="s">
        <v>42</v>
      </c>
      <c r="F777" s="18">
        <v>0.27539999999999998</v>
      </c>
      <c r="G777" s="19"/>
      <c r="H777" s="20"/>
      <c r="I777" s="21">
        <v>11.6632</v>
      </c>
      <c r="J777" s="20"/>
      <c r="K777" s="20"/>
    </row>
    <row r="778" spans="1:11" ht="15" customHeight="1" x14ac:dyDescent="0.2">
      <c r="A778" s="22" t="s">
        <v>679</v>
      </c>
      <c r="B778" s="23" t="s">
        <v>8</v>
      </c>
      <c r="C778" s="23" t="s">
        <v>9</v>
      </c>
      <c r="D778" s="24" t="s">
        <v>20</v>
      </c>
      <c r="E778" s="24" t="s">
        <v>42</v>
      </c>
      <c r="F778" s="18">
        <v>0.36249999999999999</v>
      </c>
      <c r="G778" s="19"/>
      <c r="H778" s="20"/>
      <c r="I778" s="21">
        <v>17.400500000000001</v>
      </c>
      <c r="J778" s="20"/>
      <c r="K778" s="20"/>
    </row>
    <row r="779" spans="1:11" ht="14.25" customHeight="1" x14ac:dyDescent="0.2">
      <c r="A779" s="25" t="s">
        <v>808</v>
      </c>
      <c r="B779" s="4" t="s">
        <v>5</v>
      </c>
      <c r="C779" s="4"/>
      <c r="D779" s="5"/>
      <c r="E779" s="5"/>
      <c r="F779" s="10"/>
      <c r="G779" s="11"/>
      <c r="H779" s="12"/>
      <c r="I779" s="13"/>
      <c r="J779" s="12"/>
      <c r="K779" s="12"/>
    </row>
    <row r="780" spans="1:11" ht="15" customHeight="1" x14ac:dyDescent="0.2">
      <c r="A780" s="14" t="s">
        <v>680</v>
      </c>
      <c r="B780" s="15" t="s">
        <v>6</v>
      </c>
      <c r="C780" s="16"/>
      <c r="D780" s="17"/>
      <c r="E780" s="17"/>
      <c r="F780" s="18"/>
      <c r="G780" s="19"/>
      <c r="H780" s="20"/>
      <c r="I780" s="21"/>
      <c r="J780" s="20"/>
      <c r="K780" s="20"/>
    </row>
    <row r="781" spans="1:11" ht="15" customHeight="1" x14ac:dyDescent="0.2">
      <c r="A781" s="22" t="s">
        <v>681</v>
      </c>
      <c r="B781" s="23" t="s">
        <v>8</v>
      </c>
      <c r="C781" s="23" t="s">
        <v>9</v>
      </c>
      <c r="D781" s="24" t="s">
        <v>10</v>
      </c>
      <c r="E781" s="24" t="s">
        <v>11</v>
      </c>
      <c r="F781" s="18"/>
      <c r="G781" s="19"/>
      <c r="H781" s="20"/>
      <c r="I781" s="21"/>
      <c r="J781" s="20"/>
      <c r="K781" s="20"/>
    </row>
    <row r="782" spans="1:11" ht="15" customHeight="1" x14ac:dyDescent="0.2">
      <c r="A782" s="22" t="s">
        <v>682</v>
      </c>
      <c r="B782" s="23" t="s">
        <v>8</v>
      </c>
      <c r="C782" s="23" t="s">
        <v>9</v>
      </c>
      <c r="D782" s="24" t="s">
        <v>10</v>
      </c>
      <c r="E782" s="24" t="s">
        <v>42</v>
      </c>
      <c r="F782" s="18"/>
      <c r="G782" s="19"/>
      <c r="H782" s="20"/>
      <c r="I782" s="21"/>
      <c r="J782" s="20"/>
      <c r="K782" s="20"/>
    </row>
    <row r="783" spans="1:11" ht="14.25" customHeight="1" x14ac:dyDescent="0.2">
      <c r="A783" s="25" t="s">
        <v>809</v>
      </c>
      <c r="B783" s="4" t="s">
        <v>5</v>
      </c>
      <c r="C783" s="4"/>
      <c r="D783" s="5"/>
      <c r="E783" s="5"/>
      <c r="F783" s="10"/>
      <c r="G783" s="11"/>
      <c r="H783" s="12">
        <v>3.1633</v>
      </c>
      <c r="I783" s="13"/>
      <c r="J783" s="12"/>
      <c r="K783" s="12">
        <v>171.71680000000001</v>
      </c>
    </row>
    <row r="784" spans="1:11" ht="15" customHeight="1" x14ac:dyDescent="0.2">
      <c r="A784" s="14" t="s">
        <v>683</v>
      </c>
      <c r="B784" s="15" t="s">
        <v>6</v>
      </c>
      <c r="C784" s="16"/>
      <c r="D784" s="17"/>
      <c r="E784" s="17"/>
      <c r="F784" s="18"/>
      <c r="G784" s="19"/>
      <c r="H784" s="20">
        <v>3.1633</v>
      </c>
      <c r="I784" s="21"/>
      <c r="J784" s="20"/>
      <c r="K784" s="20">
        <v>171.71680000000001</v>
      </c>
    </row>
    <row r="785" spans="1:11" ht="15" customHeight="1" x14ac:dyDescent="0.2">
      <c r="A785" s="22" t="s">
        <v>827</v>
      </c>
      <c r="B785" s="23" t="s">
        <v>8</v>
      </c>
      <c r="C785" s="23" t="s">
        <v>9</v>
      </c>
      <c r="D785" s="24" t="s">
        <v>20</v>
      </c>
      <c r="E785" s="24" t="s">
        <v>24</v>
      </c>
      <c r="F785" s="18"/>
      <c r="G785" s="19"/>
      <c r="H785" s="20">
        <v>3.1633</v>
      </c>
      <c r="I785" s="21"/>
      <c r="J785" s="20"/>
      <c r="K785" s="20">
        <v>171.71680000000001</v>
      </c>
    </row>
    <row r="786" spans="1:11" ht="14.25" customHeight="1" x14ac:dyDescent="0.2">
      <c r="A786" s="25" t="s">
        <v>810</v>
      </c>
      <c r="B786" s="4" t="s">
        <v>5</v>
      </c>
      <c r="C786" s="4"/>
      <c r="D786" s="5"/>
      <c r="E786" s="5"/>
      <c r="F786" s="10">
        <v>55.096499999999999</v>
      </c>
      <c r="G786" s="11">
        <v>43.348100000000002</v>
      </c>
      <c r="H786" s="12">
        <v>24.53</v>
      </c>
      <c r="I786" s="13">
        <v>2000.4357</v>
      </c>
      <c r="J786" s="12">
        <v>1647.0114000000001</v>
      </c>
      <c r="K786" s="12">
        <v>929.35159999999996</v>
      </c>
    </row>
    <row r="787" spans="1:11" ht="15" customHeight="1" x14ac:dyDescent="0.2">
      <c r="A787" s="14" t="s">
        <v>684</v>
      </c>
      <c r="B787" s="15" t="s">
        <v>6</v>
      </c>
      <c r="C787" s="16"/>
      <c r="D787" s="17"/>
      <c r="E787" s="17"/>
      <c r="F787" s="18">
        <v>54.988799999999998</v>
      </c>
      <c r="G787" s="19">
        <v>43.223300000000002</v>
      </c>
      <c r="H787" s="20">
        <v>24.458100000000002</v>
      </c>
      <c r="I787" s="21">
        <v>1994.8981000000001</v>
      </c>
      <c r="J787" s="20">
        <v>1640.5911000000001</v>
      </c>
      <c r="K787" s="20">
        <v>925.65359999999998</v>
      </c>
    </row>
    <row r="788" spans="1:11" ht="15" customHeight="1" x14ac:dyDescent="0.2">
      <c r="A788" s="22" t="s">
        <v>685</v>
      </c>
      <c r="B788" s="23" t="s">
        <v>8</v>
      </c>
      <c r="C788" s="23" t="s">
        <v>9</v>
      </c>
      <c r="D788" s="24" t="s">
        <v>20</v>
      </c>
      <c r="E788" s="24" t="s">
        <v>24</v>
      </c>
      <c r="F788" s="18"/>
      <c r="G788" s="19">
        <v>10.313499999999999</v>
      </c>
      <c r="H788" s="20">
        <v>10.635400000000001</v>
      </c>
      <c r="I788" s="21"/>
      <c r="J788" s="20">
        <v>475.9119</v>
      </c>
      <c r="K788" s="20">
        <v>461.80500000000001</v>
      </c>
    </row>
    <row r="789" spans="1:11" ht="15" customHeight="1" x14ac:dyDescent="0.2">
      <c r="A789" s="22" t="s">
        <v>686</v>
      </c>
      <c r="B789" s="23" t="s">
        <v>8</v>
      </c>
      <c r="C789" s="23" t="s">
        <v>9</v>
      </c>
      <c r="D789" s="24" t="s">
        <v>20</v>
      </c>
      <c r="E789" s="24" t="s">
        <v>42</v>
      </c>
      <c r="F789" s="18">
        <v>54.988799999999998</v>
      </c>
      <c r="G789" s="19">
        <v>32.909799999999997</v>
      </c>
      <c r="H789" s="20">
        <v>13.822900000000001</v>
      </c>
      <c r="I789" s="21">
        <v>1994.8981000000001</v>
      </c>
      <c r="J789" s="20">
        <v>1164.6792</v>
      </c>
      <c r="K789" s="20">
        <v>463.84859999999998</v>
      </c>
    </row>
    <row r="790" spans="1:11" ht="15" customHeight="1" x14ac:dyDescent="0.2">
      <c r="A790" s="14" t="s">
        <v>687</v>
      </c>
      <c r="B790" s="15" t="s">
        <v>6</v>
      </c>
      <c r="C790" s="16"/>
      <c r="D790" s="17"/>
      <c r="E790" s="17"/>
      <c r="F790" s="18">
        <v>0.1076</v>
      </c>
      <c r="G790" s="19">
        <v>0.1249</v>
      </c>
      <c r="H790" s="20">
        <v>7.1900000000000006E-2</v>
      </c>
      <c r="I790" s="21">
        <v>5.5374999999999996</v>
      </c>
      <c r="J790" s="20">
        <v>6.4203000000000001</v>
      </c>
      <c r="K790" s="20">
        <v>3.698</v>
      </c>
    </row>
    <row r="791" spans="1:11" ht="15" customHeight="1" x14ac:dyDescent="0.2">
      <c r="A791" s="22" t="s">
        <v>688</v>
      </c>
      <c r="B791" s="23" t="s">
        <v>8</v>
      </c>
      <c r="C791" s="23" t="s">
        <v>9</v>
      </c>
      <c r="D791" s="24" t="s">
        <v>20</v>
      </c>
      <c r="E791" s="24" t="s">
        <v>42</v>
      </c>
      <c r="F791" s="18">
        <v>0.1076</v>
      </c>
      <c r="G791" s="19">
        <v>0.1249</v>
      </c>
      <c r="H791" s="20">
        <v>7.1900000000000006E-2</v>
      </c>
      <c r="I791" s="21">
        <v>5.5374999999999996</v>
      </c>
      <c r="J791" s="20">
        <v>6.4203000000000001</v>
      </c>
      <c r="K791" s="20">
        <v>3.698</v>
      </c>
    </row>
    <row r="792" spans="1:11" ht="14.25" customHeight="1" x14ac:dyDescent="0.2">
      <c r="A792" s="25" t="s">
        <v>811</v>
      </c>
      <c r="B792" s="4" t="s">
        <v>5</v>
      </c>
      <c r="C792" s="4"/>
      <c r="D792" s="5"/>
      <c r="E792" s="5"/>
      <c r="F792" s="10">
        <v>34.924300000000002</v>
      </c>
      <c r="G792" s="11">
        <v>13.6989</v>
      </c>
      <c r="H792" s="12">
        <v>2.1793999999999998</v>
      </c>
      <c r="I792" s="13">
        <v>2361.7521000000002</v>
      </c>
      <c r="J792" s="12">
        <v>920.36559999999997</v>
      </c>
      <c r="K792" s="12">
        <v>151.65029999999999</v>
      </c>
    </row>
    <row r="793" spans="1:11" ht="15" customHeight="1" x14ac:dyDescent="0.2">
      <c r="A793" s="14" t="s">
        <v>689</v>
      </c>
      <c r="B793" s="15" t="s">
        <v>6</v>
      </c>
      <c r="C793" s="16"/>
      <c r="D793" s="17"/>
      <c r="E793" s="17"/>
      <c r="F793" s="18">
        <v>34.924300000000002</v>
      </c>
      <c r="G793" s="19">
        <v>13.6989</v>
      </c>
      <c r="H793" s="20">
        <v>2.1793999999999998</v>
      </c>
      <c r="I793" s="21">
        <v>2361.7521000000002</v>
      </c>
      <c r="J793" s="20">
        <v>920.36559999999997</v>
      </c>
      <c r="K793" s="20">
        <v>151.65029999999999</v>
      </c>
    </row>
    <row r="794" spans="1:11" ht="15" customHeight="1" x14ac:dyDescent="0.2">
      <c r="A794" s="22" t="s">
        <v>690</v>
      </c>
      <c r="B794" s="23" t="s">
        <v>8</v>
      </c>
      <c r="C794" s="23" t="s">
        <v>9</v>
      </c>
      <c r="D794" s="24" t="s">
        <v>30</v>
      </c>
      <c r="E794" s="24" t="s">
        <v>99</v>
      </c>
      <c r="F794" s="18">
        <v>0.30349999999999999</v>
      </c>
      <c r="G794" s="19">
        <v>7.7100000000000002E-2</v>
      </c>
      <c r="H794" s="20"/>
      <c r="I794" s="21">
        <v>10.7111</v>
      </c>
      <c r="J794" s="20">
        <v>2.9864999999999999</v>
      </c>
      <c r="K794" s="20"/>
    </row>
    <row r="795" spans="1:11" ht="15" customHeight="1" x14ac:dyDescent="0.2">
      <c r="A795" s="22" t="s">
        <v>691</v>
      </c>
      <c r="B795" s="23" t="s">
        <v>8</v>
      </c>
      <c r="C795" s="23" t="s">
        <v>9</v>
      </c>
      <c r="D795" s="24" t="s">
        <v>30</v>
      </c>
      <c r="E795" s="24" t="s">
        <v>42</v>
      </c>
      <c r="F795" s="18">
        <v>34.620800000000003</v>
      </c>
      <c r="G795" s="19">
        <v>13.6218</v>
      </c>
      <c r="H795" s="20">
        <v>2.1793999999999998</v>
      </c>
      <c r="I795" s="21">
        <v>2351.0409</v>
      </c>
      <c r="J795" s="20">
        <v>917.37919999999997</v>
      </c>
      <c r="K795" s="20">
        <v>151.65029999999999</v>
      </c>
    </row>
    <row r="796" spans="1:11" ht="14.25" customHeight="1" x14ac:dyDescent="0.2">
      <c r="A796" s="25" t="s">
        <v>812</v>
      </c>
      <c r="B796" s="4" t="s">
        <v>5</v>
      </c>
      <c r="C796" s="4"/>
      <c r="D796" s="5"/>
      <c r="E796" s="5"/>
      <c r="F796" s="10"/>
      <c r="G796" s="11"/>
      <c r="H796" s="12">
        <v>1.9407000000000001</v>
      </c>
      <c r="I796" s="13"/>
      <c r="J796" s="12"/>
      <c r="K796" s="12">
        <v>110.1146</v>
      </c>
    </row>
    <row r="797" spans="1:11" ht="15" customHeight="1" x14ac:dyDescent="0.2">
      <c r="A797" s="14" t="s">
        <v>692</v>
      </c>
      <c r="B797" s="15" t="s">
        <v>6</v>
      </c>
      <c r="C797" s="16"/>
      <c r="D797" s="17"/>
      <c r="E797" s="17"/>
      <c r="F797" s="18"/>
      <c r="G797" s="19"/>
      <c r="H797" s="20">
        <v>1.9407000000000001</v>
      </c>
      <c r="I797" s="21"/>
      <c r="J797" s="20"/>
      <c r="K797" s="20">
        <v>110.1146</v>
      </c>
    </row>
    <row r="798" spans="1:11" ht="15" customHeight="1" x14ac:dyDescent="0.2">
      <c r="A798" s="22" t="s">
        <v>693</v>
      </c>
      <c r="B798" s="23" t="s">
        <v>8</v>
      </c>
      <c r="C798" s="23" t="s">
        <v>9</v>
      </c>
      <c r="D798" s="24" t="s">
        <v>10</v>
      </c>
      <c r="E798" s="24" t="s">
        <v>24</v>
      </c>
      <c r="F798" s="18"/>
      <c r="G798" s="19"/>
      <c r="H798" s="20">
        <v>1.9407000000000001</v>
      </c>
      <c r="I798" s="21"/>
      <c r="J798" s="20"/>
      <c r="K798" s="20">
        <v>110.1146</v>
      </c>
    </row>
    <row r="799" spans="1:11" ht="14.25" customHeight="1" x14ac:dyDescent="0.2">
      <c r="A799" s="25" t="s">
        <v>813</v>
      </c>
      <c r="B799" s="4" t="s">
        <v>5</v>
      </c>
      <c r="C799" s="4"/>
      <c r="D799" s="5"/>
      <c r="E799" s="5"/>
      <c r="F799" s="10">
        <v>2.0785999999999998</v>
      </c>
      <c r="G799" s="11">
        <v>7.1199999999999999E-2</v>
      </c>
      <c r="H799" s="12"/>
      <c r="I799" s="13">
        <v>104.04649999999999</v>
      </c>
      <c r="J799" s="12">
        <v>3.8216000000000001</v>
      </c>
      <c r="K799" s="12"/>
    </row>
    <row r="800" spans="1:11" ht="15" customHeight="1" x14ac:dyDescent="0.2">
      <c r="A800" s="14" t="s">
        <v>694</v>
      </c>
      <c r="B800" s="15" t="s">
        <v>6</v>
      </c>
      <c r="C800" s="16"/>
      <c r="D800" s="17"/>
      <c r="E800" s="17"/>
      <c r="F800" s="18">
        <v>2.0785999999999998</v>
      </c>
      <c r="G800" s="19">
        <v>7.1199999999999999E-2</v>
      </c>
      <c r="H800" s="20"/>
      <c r="I800" s="21">
        <v>104.04649999999999</v>
      </c>
      <c r="J800" s="20">
        <v>3.8216000000000001</v>
      </c>
      <c r="K800" s="20"/>
    </row>
    <row r="801" spans="1:11" ht="15" customHeight="1" x14ac:dyDescent="0.2">
      <c r="A801" s="22" t="s">
        <v>695</v>
      </c>
      <c r="B801" s="23" t="s">
        <v>8</v>
      </c>
      <c r="C801" s="23" t="s">
        <v>9</v>
      </c>
      <c r="D801" s="24" t="s">
        <v>20</v>
      </c>
      <c r="E801" s="24" t="s">
        <v>42</v>
      </c>
      <c r="F801" s="18">
        <v>2.0785999999999998</v>
      </c>
      <c r="G801" s="19">
        <v>7.1199999999999999E-2</v>
      </c>
      <c r="H801" s="20"/>
      <c r="I801" s="21">
        <v>104.04649999999999</v>
      </c>
      <c r="J801" s="20">
        <v>3.8216000000000001</v>
      </c>
      <c r="K801" s="20"/>
    </row>
    <row r="802" spans="1:11" ht="14.25" customHeight="1" x14ac:dyDescent="0.2">
      <c r="A802" s="25" t="s">
        <v>814</v>
      </c>
      <c r="B802" s="4" t="s">
        <v>5</v>
      </c>
      <c r="C802" s="4"/>
      <c r="D802" s="5"/>
      <c r="E802" s="5"/>
      <c r="F802" s="10"/>
      <c r="G802" s="11">
        <v>0.06</v>
      </c>
      <c r="H802" s="12">
        <v>22.319900000000001</v>
      </c>
      <c r="I802" s="13"/>
      <c r="J802" s="12">
        <v>3.96</v>
      </c>
      <c r="K802" s="12">
        <v>1362.7346</v>
      </c>
    </row>
    <row r="803" spans="1:11" ht="15" customHeight="1" x14ac:dyDescent="0.2">
      <c r="A803" s="14" t="s">
        <v>696</v>
      </c>
      <c r="B803" s="15" t="s">
        <v>6</v>
      </c>
      <c r="C803" s="16"/>
      <c r="D803" s="17"/>
      <c r="E803" s="17"/>
      <c r="F803" s="18"/>
      <c r="G803" s="19"/>
      <c r="H803" s="20">
        <v>0.1532</v>
      </c>
      <c r="I803" s="21"/>
      <c r="J803" s="20"/>
      <c r="K803" s="20">
        <v>9.1946999999999992</v>
      </c>
    </row>
    <row r="804" spans="1:11" ht="15" customHeight="1" x14ac:dyDescent="0.2">
      <c r="A804" s="22" t="s">
        <v>697</v>
      </c>
      <c r="B804" s="23" t="s">
        <v>8</v>
      </c>
      <c r="C804" s="23" t="s">
        <v>9</v>
      </c>
      <c r="D804" s="24" t="s">
        <v>30</v>
      </c>
      <c r="E804" s="24" t="s">
        <v>24</v>
      </c>
      <c r="F804" s="18"/>
      <c r="G804" s="19"/>
      <c r="H804" s="20">
        <v>0.1532</v>
      </c>
      <c r="I804" s="21"/>
      <c r="J804" s="20"/>
      <c r="K804" s="20">
        <v>9.1946999999999992</v>
      </c>
    </row>
    <row r="805" spans="1:11" ht="15" customHeight="1" x14ac:dyDescent="0.2">
      <c r="A805" s="14" t="s">
        <v>698</v>
      </c>
      <c r="B805" s="15" t="s">
        <v>6</v>
      </c>
      <c r="C805" s="16"/>
      <c r="D805" s="17"/>
      <c r="E805" s="17"/>
      <c r="F805" s="18"/>
      <c r="G805" s="19">
        <v>0.06</v>
      </c>
      <c r="H805" s="20">
        <v>22.166699999999999</v>
      </c>
      <c r="I805" s="21"/>
      <c r="J805" s="20">
        <v>3.96</v>
      </c>
      <c r="K805" s="20">
        <v>1353.54</v>
      </c>
    </row>
    <row r="806" spans="1:11" ht="15" customHeight="1" x14ac:dyDescent="0.2">
      <c r="A806" s="22" t="s">
        <v>699</v>
      </c>
      <c r="B806" s="23" t="s">
        <v>8</v>
      </c>
      <c r="C806" s="23" t="s">
        <v>9</v>
      </c>
      <c r="D806" s="24" t="s">
        <v>30</v>
      </c>
      <c r="E806" s="24" t="s">
        <v>42</v>
      </c>
      <c r="F806" s="18"/>
      <c r="G806" s="19">
        <v>2.8000000000000001E-2</v>
      </c>
      <c r="H806" s="20">
        <v>14.061199999999999</v>
      </c>
      <c r="I806" s="21"/>
      <c r="J806" s="20">
        <v>1.8513999999999999</v>
      </c>
      <c r="K806" s="20">
        <v>850.57989999999995</v>
      </c>
    </row>
    <row r="807" spans="1:11" ht="15" customHeight="1" x14ac:dyDescent="0.2">
      <c r="A807" s="22" t="s">
        <v>700</v>
      </c>
      <c r="B807" s="23" t="s">
        <v>8</v>
      </c>
      <c r="C807" s="23" t="s">
        <v>9</v>
      </c>
      <c r="D807" s="24" t="s">
        <v>30</v>
      </c>
      <c r="E807" s="24" t="s">
        <v>42</v>
      </c>
      <c r="F807" s="18"/>
      <c r="G807" s="19">
        <v>3.1899999999999998E-2</v>
      </c>
      <c r="H807" s="20">
        <v>8.1054999999999993</v>
      </c>
      <c r="I807" s="21"/>
      <c r="J807" s="20">
        <v>2.1086</v>
      </c>
      <c r="K807" s="20">
        <v>502.96</v>
      </c>
    </row>
    <row r="808" spans="1:11" ht="14.25" customHeight="1" x14ac:dyDescent="0.2">
      <c r="A808" s="25" t="s">
        <v>815</v>
      </c>
      <c r="B808" s="4" t="s">
        <v>5</v>
      </c>
      <c r="C808" s="4"/>
      <c r="D808" s="5"/>
      <c r="E808" s="5"/>
      <c r="F808" s="10"/>
      <c r="G808" s="11"/>
      <c r="H808" s="12"/>
      <c r="I808" s="13"/>
      <c r="J808" s="12"/>
      <c r="K808" s="12"/>
    </row>
    <row r="809" spans="1:11" ht="15" customHeight="1" x14ac:dyDescent="0.2">
      <c r="A809" s="14" t="s">
        <v>701</v>
      </c>
      <c r="B809" s="15" t="s">
        <v>6</v>
      </c>
      <c r="C809" s="16"/>
      <c r="D809" s="17"/>
      <c r="E809" s="17"/>
      <c r="F809" s="18"/>
      <c r="G809" s="19"/>
      <c r="H809" s="20"/>
      <c r="I809" s="21"/>
      <c r="J809" s="20"/>
      <c r="K809" s="20"/>
    </row>
    <row r="810" spans="1:11" ht="15" customHeight="1" x14ac:dyDescent="0.2">
      <c r="A810" s="22" t="s">
        <v>702</v>
      </c>
      <c r="B810" s="23" t="s">
        <v>8</v>
      </c>
      <c r="C810" s="23" t="s">
        <v>9</v>
      </c>
      <c r="D810" s="24" t="s">
        <v>64</v>
      </c>
      <c r="E810" s="24" t="s">
        <v>21</v>
      </c>
      <c r="F810" s="18"/>
      <c r="G810" s="19"/>
      <c r="H810" s="20"/>
      <c r="I810" s="21"/>
      <c r="J810" s="20"/>
      <c r="K810" s="20"/>
    </row>
    <row r="811" spans="1:11" ht="14.25" customHeight="1" x14ac:dyDescent="0.2">
      <c r="A811" s="25" t="s">
        <v>816</v>
      </c>
      <c r="B811" s="4" t="s">
        <v>5</v>
      </c>
      <c r="C811" s="4"/>
      <c r="D811" s="5"/>
      <c r="E811" s="5"/>
      <c r="F811" s="10">
        <v>25.839099999999998</v>
      </c>
      <c r="G811" s="11">
        <v>9.0121000000000002</v>
      </c>
      <c r="H811" s="12">
        <v>10.0204</v>
      </c>
      <c r="I811" s="13">
        <v>1539.4739</v>
      </c>
      <c r="J811" s="12">
        <v>509.45670000000001</v>
      </c>
      <c r="K811" s="12">
        <v>585.52229999999997</v>
      </c>
    </row>
    <row r="812" spans="1:11" ht="15" customHeight="1" x14ac:dyDescent="0.2">
      <c r="A812" s="14" t="s">
        <v>703</v>
      </c>
      <c r="B812" s="15" t="s">
        <v>6</v>
      </c>
      <c r="C812" s="16"/>
      <c r="D812" s="17"/>
      <c r="E812" s="17"/>
      <c r="F812" s="18">
        <v>25.839099999999998</v>
      </c>
      <c r="G812" s="19">
        <v>9.0121000000000002</v>
      </c>
      <c r="H812" s="20">
        <v>10.0204</v>
      </c>
      <c r="I812" s="21">
        <v>1539.4739</v>
      </c>
      <c r="J812" s="20">
        <v>509.45670000000001</v>
      </c>
      <c r="K812" s="20">
        <v>585.52229999999997</v>
      </c>
    </row>
    <row r="813" spans="1:11" ht="15" customHeight="1" x14ac:dyDescent="0.2">
      <c r="A813" s="22" t="s">
        <v>704</v>
      </c>
      <c r="B813" s="23" t="s">
        <v>8</v>
      </c>
      <c r="C813" s="23" t="s">
        <v>9</v>
      </c>
      <c r="D813" s="24" t="s">
        <v>30</v>
      </c>
      <c r="E813" s="24" t="s">
        <v>24</v>
      </c>
      <c r="F813" s="18">
        <v>25.839099999999998</v>
      </c>
      <c r="G813" s="19">
        <v>9.0121000000000002</v>
      </c>
      <c r="H813" s="20">
        <v>10.0204</v>
      </c>
      <c r="I813" s="21">
        <v>1539.4739</v>
      </c>
      <c r="J813" s="20">
        <v>509.45670000000001</v>
      </c>
      <c r="K813" s="20">
        <v>585.52229999999997</v>
      </c>
    </row>
    <row r="814" spans="1:11" ht="14.25" customHeight="1" x14ac:dyDescent="0.2">
      <c r="A814" s="25" t="s">
        <v>817</v>
      </c>
      <c r="B814" s="4" t="s">
        <v>5</v>
      </c>
      <c r="C814" s="4"/>
      <c r="D814" s="5"/>
      <c r="E814" s="5"/>
      <c r="F814" s="10">
        <v>19.4955</v>
      </c>
      <c r="G814" s="11">
        <v>39.761400000000002</v>
      </c>
      <c r="H814" s="12">
        <v>26.269500000000001</v>
      </c>
      <c r="I814" s="13">
        <v>286.0496</v>
      </c>
      <c r="J814" s="12">
        <v>652.10860000000002</v>
      </c>
      <c r="K814" s="12">
        <v>499.83789999999999</v>
      </c>
    </row>
    <row r="815" spans="1:11" ht="15" customHeight="1" x14ac:dyDescent="0.2">
      <c r="A815" s="14" t="s">
        <v>705</v>
      </c>
      <c r="B815" s="15" t="s">
        <v>6</v>
      </c>
      <c r="C815" s="16"/>
      <c r="D815" s="17"/>
      <c r="E815" s="17"/>
      <c r="F815" s="18">
        <v>19.4955</v>
      </c>
      <c r="G815" s="19">
        <v>39.761400000000002</v>
      </c>
      <c r="H815" s="20">
        <v>26.269500000000001</v>
      </c>
      <c r="I815" s="21">
        <v>286.0496</v>
      </c>
      <c r="J815" s="20">
        <v>652.10860000000002</v>
      </c>
      <c r="K815" s="20">
        <v>499.83789999999999</v>
      </c>
    </row>
    <row r="816" spans="1:11" ht="15" customHeight="1" x14ac:dyDescent="0.2">
      <c r="A816" s="22" t="s">
        <v>706</v>
      </c>
      <c r="B816" s="23" t="s">
        <v>8</v>
      </c>
      <c r="C816" s="23" t="s">
        <v>9</v>
      </c>
      <c r="D816" s="24" t="s">
        <v>249</v>
      </c>
      <c r="E816" s="24" t="s">
        <v>15</v>
      </c>
      <c r="F816" s="18">
        <v>9.0969999999999995</v>
      </c>
      <c r="G816" s="19">
        <v>13.0891</v>
      </c>
      <c r="H816" s="20">
        <v>4.6460999999999997</v>
      </c>
      <c r="I816" s="21">
        <v>134.3818</v>
      </c>
      <c r="J816" s="20">
        <v>186.4109</v>
      </c>
      <c r="K816" s="20">
        <v>56.316099999999999</v>
      </c>
    </row>
    <row r="817" spans="1:11" ht="15" customHeight="1" x14ac:dyDescent="0.2">
      <c r="A817" s="22" t="s">
        <v>707</v>
      </c>
      <c r="B817" s="23" t="s">
        <v>8</v>
      </c>
      <c r="C817" s="23" t="s">
        <v>9</v>
      </c>
      <c r="D817" s="24" t="s">
        <v>64</v>
      </c>
      <c r="E817" s="24" t="s">
        <v>15</v>
      </c>
      <c r="F817" s="18">
        <v>10.3986</v>
      </c>
      <c r="G817" s="19">
        <v>26.6724</v>
      </c>
      <c r="H817" s="20">
        <v>21.6234</v>
      </c>
      <c r="I817" s="21">
        <v>151.6679</v>
      </c>
      <c r="J817" s="20">
        <v>465.6979</v>
      </c>
      <c r="K817" s="20">
        <v>443.52179999999998</v>
      </c>
    </row>
    <row r="818" spans="1:11" ht="14.25" customHeight="1" x14ac:dyDescent="0.2">
      <c r="A818" s="25" t="s">
        <v>818</v>
      </c>
      <c r="B818" s="4" t="s">
        <v>5</v>
      </c>
      <c r="C818" s="4"/>
      <c r="D818" s="5"/>
      <c r="E818" s="5"/>
      <c r="F818" s="10">
        <v>1.8396999999999999</v>
      </c>
      <c r="G818" s="11">
        <v>4.3616000000000001</v>
      </c>
      <c r="H818" s="12"/>
      <c r="I818" s="13">
        <v>115.49760000000001</v>
      </c>
      <c r="J818" s="12">
        <v>300.46589999999998</v>
      </c>
      <c r="K818" s="12"/>
    </row>
    <row r="819" spans="1:11" ht="15" customHeight="1" x14ac:dyDescent="0.2">
      <c r="A819" s="14" t="s">
        <v>708</v>
      </c>
      <c r="B819" s="15" t="s">
        <v>6</v>
      </c>
      <c r="C819" s="16"/>
      <c r="D819" s="17"/>
      <c r="E819" s="17"/>
      <c r="F819" s="18">
        <v>1.8396999999999999</v>
      </c>
      <c r="G819" s="19">
        <v>4.3616000000000001</v>
      </c>
      <c r="H819" s="20"/>
      <c r="I819" s="21">
        <v>115.49760000000001</v>
      </c>
      <c r="J819" s="20">
        <v>300.46589999999998</v>
      </c>
      <c r="K819" s="20"/>
    </row>
    <row r="820" spans="1:11" ht="15" customHeight="1" x14ac:dyDescent="0.2">
      <c r="A820" s="22" t="s">
        <v>709</v>
      </c>
      <c r="B820" s="23" t="s">
        <v>8</v>
      </c>
      <c r="C820" s="23" t="s">
        <v>9</v>
      </c>
      <c r="D820" s="24" t="s">
        <v>20</v>
      </c>
      <c r="E820" s="24" t="s">
        <v>42</v>
      </c>
      <c r="F820" s="18">
        <v>1.8396999999999999</v>
      </c>
      <c r="G820" s="19">
        <v>4.3616000000000001</v>
      </c>
      <c r="H820" s="20"/>
      <c r="I820" s="21">
        <v>115.49760000000001</v>
      </c>
      <c r="J820" s="20">
        <v>300.46589999999998</v>
      </c>
      <c r="K820" s="20"/>
    </row>
  </sheetData>
  <mergeCells count="3">
    <mergeCell ref="A1:E2"/>
    <mergeCell ref="F1:H1"/>
    <mergeCell ref="I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054CB-C644-DE47-8664-FF2958351748}">
  <dimension ref="B1:M502"/>
  <sheetViews>
    <sheetView zoomScale="150" workbookViewId="0">
      <selection activeCell="P24" sqref="P24"/>
    </sheetView>
  </sheetViews>
  <sheetFormatPr baseColWidth="10" defaultColWidth="8.83203125" defaultRowHeight="12" x14ac:dyDescent="0.15"/>
  <cols>
    <col min="1" max="1" width="2.1640625" style="37" customWidth="1"/>
    <col min="2" max="2" width="41.6640625" style="37" bestFit="1" customWidth="1"/>
    <col min="3" max="3" width="29" style="37" bestFit="1" customWidth="1"/>
    <col min="4" max="4" width="19.83203125" style="37" bestFit="1" customWidth="1"/>
    <col min="5" max="5" width="9.5" style="37" bestFit="1" customWidth="1"/>
    <col min="6" max="6" width="35.6640625" style="37" bestFit="1" customWidth="1"/>
    <col min="7" max="7" width="6.6640625" style="37" bestFit="1" customWidth="1"/>
    <col min="8" max="9" width="11.6640625" style="37" bestFit="1" customWidth="1"/>
    <col min="10" max="10" width="13.83203125" style="37" bestFit="1" customWidth="1"/>
    <col min="11" max="12" width="13.5" style="37" bestFit="1" customWidth="1"/>
    <col min="13" max="13" width="15.6640625" style="37" bestFit="1" customWidth="1"/>
    <col min="14" max="15" width="12.6640625" style="37" customWidth="1"/>
    <col min="16" max="16384" width="8.83203125" style="37"/>
  </cols>
  <sheetData>
    <row r="1" spans="2:13" s="38" customFormat="1" ht="17" thickBot="1" x14ac:dyDescent="0.25">
      <c r="B1" s="39" t="s">
        <v>879</v>
      </c>
      <c r="C1" s="39" t="s">
        <v>877</v>
      </c>
      <c r="D1" s="39" t="s">
        <v>878</v>
      </c>
      <c r="E1" s="39" t="s">
        <v>880</v>
      </c>
      <c r="F1" s="39" t="s">
        <v>881</v>
      </c>
      <c r="G1" s="39" t="s">
        <v>882</v>
      </c>
      <c r="H1" s="39" t="s">
        <v>871</v>
      </c>
      <c r="I1" s="39" t="s">
        <v>872</v>
      </c>
      <c r="J1" s="39" t="s">
        <v>873</v>
      </c>
      <c r="K1" s="39" t="s">
        <v>874</v>
      </c>
      <c r="L1" s="39" t="s">
        <v>875</v>
      </c>
      <c r="M1" s="39" t="s">
        <v>876</v>
      </c>
    </row>
    <row r="2" spans="2:13" x14ac:dyDescent="0.15">
      <c r="B2" s="37" t="s">
        <v>7</v>
      </c>
      <c r="C2" s="37" t="s">
        <v>712</v>
      </c>
      <c r="D2" s="37" t="s">
        <v>883</v>
      </c>
      <c r="E2" s="37" t="s">
        <v>9</v>
      </c>
      <c r="F2" s="37" t="s">
        <v>10</v>
      </c>
      <c r="G2" s="37" t="s">
        <v>11</v>
      </c>
      <c r="H2" s="37">
        <v>1.9350000000000001</v>
      </c>
      <c r="I2" s="37">
        <v>0.624</v>
      </c>
      <c r="K2" s="37">
        <v>24.822900000000001</v>
      </c>
      <c r="L2" s="37">
        <v>9.4085999999999999</v>
      </c>
    </row>
    <row r="3" spans="2:13" x14ac:dyDescent="0.15">
      <c r="B3" s="37" t="s">
        <v>18</v>
      </c>
      <c r="C3" s="37" t="s">
        <v>713</v>
      </c>
      <c r="D3" s="37" t="s">
        <v>884</v>
      </c>
      <c r="E3" s="37" t="s">
        <v>9</v>
      </c>
      <c r="F3" s="37" t="s">
        <v>10</v>
      </c>
      <c r="G3" s="37" t="s">
        <v>17</v>
      </c>
      <c r="H3" s="37">
        <v>1.09E-2</v>
      </c>
      <c r="K3" s="37">
        <v>0.16</v>
      </c>
    </row>
    <row r="4" spans="2:13" x14ac:dyDescent="0.15">
      <c r="B4" s="37" t="s">
        <v>19</v>
      </c>
      <c r="C4" s="37" t="s">
        <v>714</v>
      </c>
      <c r="D4" s="37" t="s">
        <v>885</v>
      </c>
      <c r="E4" s="37" t="s">
        <v>9</v>
      </c>
      <c r="F4" s="37" t="s">
        <v>20</v>
      </c>
      <c r="G4" s="37" t="s">
        <v>21</v>
      </c>
      <c r="H4" s="37">
        <v>81.467399999999998</v>
      </c>
      <c r="I4" s="37">
        <v>92.903000000000006</v>
      </c>
      <c r="J4" s="37">
        <v>52.511899999999997</v>
      </c>
      <c r="K4" s="37">
        <v>2980.7042999999999</v>
      </c>
      <c r="L4" s="37">
        <v>3415.3553999999999</v>
      </c>
      <c r="M4" s="37">
        <v>1823.0734</v>
      </c>
    </row>
    <row r="5" spans="2:13" x14ac:dyDescent="0.15">
      <c r="B5" s="37" t="s">
        <v>22</v>
      </c>
      <c r="C5" s="37" t="s">
        <v>714</v>
      </c>
      <c r="D5" s="37" t="s">
        <v>885</v>
      </c>
      <c r="E5" s="37" t="s">
        <v>9</v>
      </c>
      <c r="F5" s="37" t="s">
        <v>20</v>
      </c>
      <c r="G5" s="37" t="s">
        <v>21</v>
      </c>
      <c r="H5" s="37">
        <v>165.22800000000001</v>
      </c>
      <c r="I5" s="37">
        <v>172.68430000000001</v>
      </c>
      <c r="J5" s="37">
        <v>91.1357</v>
      </c>
      <c r="K5" s="37">
        <v>5930.9056</v>
      </c>
      <c r="L5" s="37">
        <v>6183.6273000000001</v>
      </c>
      <c r="M5" s="37">
        <v>3125.7986999999998</v>
      </c>
    </row>
    <row r="6" spans="2:13" x14ac:dyDescent="0.15">
      <c r="B6" s="37" t="s">
        <v>23</v>
      </c>
      <c r="C6" s="37" t="s">
        <v>714</v>
      </c>
      <c r="D6" s="37" t="s">
        <v>885</v>
      </c>
      <c r="E6" s="37" t="s">
        <v>9</v>
      </c>
      <c r="F6" s="37" t="s">
        <v>20</v>
      </c>
      <c r="G6" s="37" t="s">
        <v>24</v>
      </c>
      <c r="H6" s="37">
        <v>842.87239999999997</v>
      </c>
      <c r="I6" s="37">
        <v>745.33579999999995</v>
      </c>
      <c r="J6" s="37">
        <v>366.95890000000003</v>
      </c>
      <c r="K6" s="37">
        <v>38888.539799999999</v>
      </c>
      <c r="L6" s="37">
        <v>31985.000499999998</v>
      </c>
      <c r="M6" s="37">
        <v>14135.173000000001</v>
      </c>
    </row>
    <row r="7" spans="2:13" x14ac:dyDescent="0.15">
      <c r="B7" s="37" t="s">
        <v>25</v>
      </c>
      <c r="C7" s="37" t="s">
        <v>714</v>
      </c>
      <c r="D7" s="37" t="s">
        <v>885</v>
      </c>
      <c r="E7" s="37" t="s">
        <v>9</v>
      </c>
      <c r="F7" s="37" t="s">
        <v>10</v>
      </c>
      <c r="G7" s="37" t="s">
        <v>26</v>
      </c>
      <c r="H7" s="37">
        <v>12.774800000000001</v>
      </c>
      <c r="I7" s="37">
        <v>10.866</v>
      </c>
      <c r="J7" s="37">
        <v>6.7743000000000002</v>
      </c>
      <c r="K7" s="37">
        <v>151.26679999999999</v>
      </c>
      <c r="L7" s="37">
        <v>127.18680000000001</v>
      </c>
      <c r="M7" s="37">
        <v>77.459400000000002</v>
      </c>
    </row>
    <row r="8" spans="2:13" x14ac:dyDescent="0.15">
      <c r="B8" s="37" t="s">
        <v>27</v>
      </c>
      <c r="C8" s="37" t="s">
        <v>714</v>
      </c>
      <c r="D8" s="37" t="s">
        <v>885</v>
      </c>
      <c r="E8" s="37" t="s">
        <v>9</v>
      </c>
      <c r="F8" s="37" t="s">
        <v>10</v>
      </c>
      <c r="G8" s="37" t="s">
        <v>26</v>
      </c>
      <c r="H8" s="37">
        <v>20.055299999999999</v>
      </c>
      <c r="I8" s="37">
        <v>17.836099999999998</v>
      </c>
      <c r="J8" s="37">
        <v>11.187099999999999</v>
      </c>
      <c r="K8" s="37">
        <v>231.08779999999999</v>
      </c>
      <c r="L8" s="37">
        <v>217.71180000000001</v>
      </c>
      <c r="M8" s="37">
        <v>141.00800000000001</v>
      </c>
    </row>
    <row r="9" spans="2:13" x14ac:dyDescent="0.15">
      <c r="B9" s="37" t="s">
        <v>28</v>
      </c>
      <c r="C9" s="37" t="s">
        <v>714</v>
      </c>
      <c r="D9" s="37" t="s">
        <v>885</v>
      </c>
      <c r="E9" s="37" t="s">
        <v>9</v>
      </c>
      <c r="F9" s="37" t="s">
        <v>20</v>
      </c>
      <c r="G9" s="37" t="s">
        <v>26</v>
      </c>
      <c r="H9" s="37">
        <v>1.2461</v>
      </c>
      <c r="I9" s="37">
        <v>7.7651000000000003</v>
      </c>
      <c r="J9" s="37">
        <v>2.2378</v>
      </c>
      <c r="K9" s="37">
        <v>20.960899999999999</v>
      </c>
      <c r="L9" s="37">
        <v>127.6666</v>
      </c>
      <c r="M9" s="37">
        <v>33.570999999999998</v>
      </c>
    </row>
    <row r="10" spans="2:13" x14ac:dyDescent="0.15">
      <c r="B10" s="37" t="s">
        <v>29</v>
      </c>
      <c r="C10" s="37" t="s">
        <v>714</v>
      </c>
      <c r="D10" s="37" t="s">
        <v>885</v>
      </c>
      <c r="E10" s="37" t="s">
        <v>9</v>
      </c>
      <c r="F10" s="37" t="s">
        <v>30</v>
      </c>
      <c r="G10" s="37" t="s">
        <v>26</v>
      </c>
      <c r="H10" s="37">
        <v>9.6471999999999998</v>
      </c>
      <c r="I10" s="37">
        <v>10.7577</v>
      </c>
      <c r="J10" s="37">
        <v>7.0723000000000003</v>
      </c>
      <c r="K10" s="37">
        <v>112.20610000000001</v>
      </c>
      <c r="L10" s="37">
        <v>131.05279999999999</v>
      </c>
      <c r="M10" s="37">
        <v>85.719800000000006</v>
      </c>
    </row>
    <row r="11" spans="2:13" x14ac:dyDescent="0.15">
      <c r="B11" s="37" t="s">
        <v>31</v>
      </c>
      <c r="C11" s="37" t="s">
        <v>714</v>
      </c>
      <c r="D11" s="37" t="s">
        <v>885</v>
      </c>
      <c r="E11" s="37" t="s">
        <v>9</v>
      </c>
      <c r="F11" s="37" t="s">
        <v>10</v>
      </c>
      <c r="G11" s="37" t="s">
        <v>32</v>
      </c>
      <c r="H11" s="37">
        <v>0.1235</v>
      </c>
      <c r="K11" s="37">
        <v>2.2799999999999998</v>
      </c>
    </row>
    <row r="12" spans="2:13" x14ac:dyDescent="0.15">
      <c r="B12" s="37" t="s">
        <v>33</v>
      </c>
      <c r="C12" s="37" t="s">
        <v>714</v>
      </c>
      <c r="D12" s="37" t="s">
        <v>885</v>
      </c>
      <c r="E12" s="37" t="s">
        <v>9</v>
      </c>
      <c r="F12" s="37" t="s">
        <v>20</v>
      </c>
      <c r="G12" s="37" t="s">
        <v>34</v>
      </c>
      <c r="J12" s="37">
        <v>7.1128</v>
      </c>
      <c r="M12" s="37">
        <v>247.09899999999999</v>
      </c>
    </row>
    <row r="13" spans="2:13" x14ac:dyDescent="0.15">
      <c r="B13" s="37" t="s">
        <v>35</v>
      </c>
      <c r="C13" s="37" t="s">
        <v>714</v>
      </c>
      <c r="D13" s="37" t="s">
        <v>885</v>
      </c>
      <c r="E13" s="37" t="s">
        <v>9</v>
      </c>
      <c r="F13" s="37" t="s">
        <v>20</v>
      </c>
      <c r="G13" s="37" t="s">
        <v>34</v>
      </c>
      <c r="H13" s="37">
        <v>0.18310000000000001</v>
      </c>
      <c r="I13" s="37">
        <v>0.1116</v>
      </c>
      <c r="J13" s="37">
        <v>0.38700000000000001</v>
      </c>
      <c r="K13" s="37">
        <v>5.8884999999999996</v>
      </c>
      <c r="L13" s="37">
        <v>3.7909999999999999</v>
      </c>
      <c r="M13" s="37">
        <v>14.3827</v>
      </c>
    </row>
    <row r="14" spans="2:13" x14ac:dyDescent="0.15">
      <c r="B14" s="37" t="s">
        <v>36</v>
      </c>
      <c r="C14" s="37" t="s">
        <v>714</v>
      </c>
      <c r="D14" s="37" t="s">
        <v>885</v>
      </c>
      <c r="E14" s="37" t="s">
        <v>9</v>
      </c>
      <c r="F14" s="37" t="s">
        <v>10</v>
      </c>
      <c r="G14" s="37" t="s">
        <v>37</v>
      </c>
      <c r="H14" s="37">
        <v>1.8938999999999999</v>
      </c>
      <c r="J14" s="37">
        <v>0.22520000000000001</v>
      </c>
      <c r="K14" s="37">
        <v>49.9726</v>
      </c>
      <c r="M14" s="37">
        <v>6.9500999999999999</v>
      </c>
    </row>
    <row r="15" spans="2:13" x14ac:dyDescent="0.15">
      <c r="B15" s="37" t="s">
        <v>38</v>
      </c>
      <c r="C15" s="37" t="s">
        <v>714</v>
      </c>
      <c r="D15" s="37" t="s">
        <v>885</v>
      </c>
      <c r="E15" s="37" t="s">
        <v>9</v>
      </c>
      <c r="F15" s="37" t="s">
        <v>10</v>
      </c>
      <c r="G15" s="37" t="s">
        <v>37</v>
      </c>
      <c r="H15" s="37">
        <v>1.3514999999999999</v>
      </c>
      <c r="I15" s="37">
        <v>1.6999999999999999E-3</v>
      </c>
      <c r="K15" s="37">
        <v>37.322600000000001</v>
      </c>
      <c r="L15" s="37">
        <v>6.4000000000000001E-2</v>
      </c>
    </row>
    <row r="16" spans="2:13" x14ac:dyDescent="0.15">
      <c r="B16" s="37" t="s">
        <v>39</v>
      </c>
      <c r="C16" s="37" t="s">
        <v>714</v>
      </c>
      <c r="D16" s="37" t="s">
        <v>885</v>
      </c>
      <c r="E16" s="37" t="s">
        <v>9</v>
      </c>
      <c r="F16" s="37" t="s">
        <v>20</v>
      </c>
      <c r="G16" s="37" t="s">
        <v>37</v>
      </c>
      <c r="H16" s="37">
        <v>5.8978000000000002</v>
      </c>
      <c r="I16" s="37">
        <v>0.1087</v>
      </c>
      <c r="K16" s="37">
        <v>169.58080000000001</v>
      </c>
      <c r="L16" s="37">
        <v>3.3822999999999999</v>
      </c>
    </row>
    <row r="17" spans="2:13" x14ac:dyDescent="0.15">
      <c r="B17" s="37" t="s">
        <v>40</v>
      </c>
      <c r="C17" s="37" t="s">
        <v>714</v>
      </c>
      <c r="D17" s="37" t="s">
        <v>885</v>
      </c>
      <c r="E17" s="37" t="s">
        <v>9</v>
      </c>
      <c r="F17" s="37" t="s">
        <v>30</v>
      </c>
      <c r="G17" s="37" t="s">
        <v>37</v>
      </c>
      <c r="H17" s="37">
        <v>0.69669999999999999</v>
      </c>
      <c r="I17" s="37">
        <v>28.392900000000001</v>
      </c>
      <c r="J17" s="37">
        <v>2.1978</v>
      </c>
      <c r="K17" s="37">
        <v>25.606300000000001</v>
      </c>
      <c r="L17" s="37">
        <v>1226.3661999999999</v>
      </c>
      <c r="M17" s="37">
        <v>96.438800000000001</v>
      </c>
    </row>
    <row r="18" spans="2:13" x14ac:dyDescent="0.15">
      <c r="B18" s="37" t="s">
        <v>41</v>
      </c>
      <c r="C18" s="37" t="s">
        <v>714</v>
      </c>
      <c r="D18" s="37" t="s">
        <v>885</v>
      </c>
      <c r="E18" s="37" t="s">
        <v>9</v>
      </c>
      <c r="F18" s="37" t="s">
        <v>10</v>
      </c>
      <c r="G18" s="37" t="s">
        <v>42</v>
      </c>
      <c r="H18" s="37">
        <v>117.6534</v>
      </c>
      <c r="I18" s="37">
        <v>68.117699999999999</v>
      </c>
      <c r="J18" s="37">
        <v>28.349900000000002</v>
      </c>
      <c r="K18" s="37">
        <v>3055.9405999999999</v>
      </c>
      <c r="L18" s="37">
        <v>1781.8513</v>
      </c>
      <c r="M18" s="37">
        <v>711.07719999999995</v>
      </c>
    </row>
    <row r="19" spans="2:13" x14ac:dyDescent="0.15">
      <c r="B19" s="37" t="s">
        <v>43</v>
      </c>
      <c r="C19" s="37" t="s">
        <v>714</v>
      </c>
      <c r="D19" s="37" t="s">
        <v>885</v>
      </c>
      <c r="E19" s="37" t="s">
        <v>9</v>
      </c>
      <c r="F19" s="37" t="s">
        <v>10</v>
      </c>
      <c r="G19" s="37" t="s">
        <v>42</v>
      </c>
      <c r="H19" s="37">
        <v>38.677799999999998</v>
      </c>
      <c r="I19" s="37">
        <v>31.4983</v>
      </c>
      <c r="J19" s="37">
        <v>9.7551000000000005</v>
      </c>
      <c r="K19" s="37">
        <v>954.11220000000003</v>
      </c>
      <c r="L19" s="37">
        <v>803.28520000000003</v>
      </c>
      <c r="M19" s="37">
        <v>236.19829999999999</v>
      </c>
    </row>
    <row r="20" spans="2:13" x14ac:dyDescent="0.15">
      <c r="B20" s="37" t="s">
        <v>44</v>
      </c>
      <c r="C20" s="37" t="s">
        <v>714</v>
      </c>
      <c r="D20" s="37" t="s">
        <v>885</v>
      </c>
      <c r="E20" s="37" t="s">
        <v>9</v>
      </c>
      <c r="F20" s="37" t="s">
        <v>20</v>
      </c>
      <c r="G20" s="37" t="s">
        <v>42</v>
      </c>
      <c r="H20" s="37">
        <v>6.1199999999999997E-2</v>
      </c>
      <c r="K20" s="37">
        <v>1.6046</v>
      </c>
    </row>
    <row r="21" spans="2:13" x14ac:dyDescent="0.15">
      <c r="B21" s="37" t="s">
        <v>45</v>
      </c>
      <c r="C21" s="37" t="s">
        <v>714</v>
      </c>
      <c r="D21" s="37" t="s">
        <v>885</v>
      </c>
      <c r="E21" s="37" t="s">
        <v>9</v>
      </c>
      <c r="F21" s="37" t="s">
        <v>20</v>
      </c>
      <c r="G21" s="37" t="s">
        <v>42</v>
      </c>
      <c r="H21" s="37">
        <v>36.521799999999999</v>
      </c>
      <c r="I21" s="37">
        <v>5.1192000000000002</v>
      </c>
      <c r="J21" s="37">
        <v>1.1213</v>
      </c>
      <c r="K21" s="37">
        <v>1199.5277000000001</v>
      </c>
      <c r="L21" s="37">
        <v>135.36869999999999</v>
      </c>
      <c r="M21" s="37">
        <v>30.554400000000001</v>
      </c>
    </row>
    <row r="22" spans="2:13" x14ac:dyDescent="0.15">
      <c r="B22" s="37" t="s">
        <v>46</v>
      </c>
      <c r="C22" s="37" t="s">
        <v>714</v>
      </c>
      <c r="D22" s="37" t="s">
        <v>885</v>
      </c>
      <c r="E22" s="37" t="s">
        <v>9</v>
      </c>
      <c r="F22" s="37" t="s">
        <v>20</v>
      </c>
      <c r="G22" s="37" t="s">
        <v>42</v>
      </c>
      <c r="H22" s="37">
        <v>21.958300000000001</v>
      </c>
      <c r="I22" s="37">
        <v>39.467100000000002</v>
      </c>
      <c r="J22" s="37">
        <v>10.7844</v>
      </c>
      <c r="K22" s="37">
        <v>726.31399999999996</v>
      </c>
      <c r="L22" s="37">
        <v>1508.4713999999999</v>
      </c>
      <c r="M22" s="37">
        <v>314.52640000000002</v>
      </c>
    </row>
    <row r="23" spans="2:13" x14ac:dyDescent="0.15">
      <c r="B23" s="37" t="s">
        <v>47</v>
      </c>
      <c r="C23" s="37" t="s">
        <v>714</v>
      </c>
      <c r="D23" s="37" t="s">
        <v>885</v>
      </c>
      <c r="E23" s="37" t="s">
        <v>9</v>
      </c>
      <c r="F23" s="37" t="s">
        <v>20</v>
      </c>
      <c r="G23" s="37" t="s">
        <v>42</v>
      </c>
      <c r="H23" s="37">
        <v>27.983599999999999</v>
      </c>
      <c r="I23" s="37">
        <v>162.41050000000001</v>
      </c>
      <c r="J23" s="37">
        <v>103.16800000000001</v>
      </c>
      <c r="K23" s="37">
        <v>928.81529999999998</v>
      </c>
      <c r="L23" s="37">
        <v>5484.9444999999996</v>
      </c>
      <c r="M23" s="37">
        <v>3446.0194999999999</v>
      </c>
    </row>
    <row r="24" spans="2:13" x14ac:dyDescent="0.15">
      <c r="B24" s="37" t="s">
        <v>48</v>
      </c>
      <c r="C24" s="37" t="s">
        <v>714</v>
      </c>
      <c r="D24" s="37" t="s">
        <v>885</v>
      </c>
      <c r="E24" s="37" t="s">
        <v>9</v>
      </c>
      <c r="F24" s="37" t="s">
        <v>10</v>
      </c>
      <c r="G24" s="37" t="s">
        <v>42</v>
      </c>
      <c r="H24" s="37">
        <v>221.17019999999999</v>
      </c>
      <c r="I24" s="37">
        <v>159.9896</v>
      </c>
      <c r="J24" s="37">
        <v>77.865600000000001</v>
      </c>
      <c r="K24" s="37">
        <v>6715.8593000000001</v>
      </c>
      <c r="L24" s="37">
        <v>4333.2687999999998</v>
      </c>
      <c r="M24" s="37">
        <v>2035.5381</v>
      </c>
    </row>
    <row r="25" spans="2:13" x14ac:dyDescent="0.15">
      <c r="B25" s="37" t="s">
        <v>49</v>
      </c>
      <c r="C25" s="37" t="s">
        <v>714</v>
      </c>
      <c r="D25" s="37" t="s">
        <v>885</v>
      </c>
      <c r="E25" s="37" t="s">
        <v>9</v>
      </c>
      <c r="F25" s="37" t="s">
        <v>20</v>
      </c>
      <c r="G25" s="37" t="s">
        <v>42</v>
      </c>
      <c r="H25" s="37">
        <v>6.4486999999999997</v>
      </c>
      <c r="I25" s="37">
        <v>1.6863999999999999</v>
      </c>
      <c r="K25" s="37">
        <v>194.65190000000001</v>
      </c>
      <c r="L25" s="37">
        <v>50.700299999999999</v>
      </c>
    </row>
    <row r="26" spans="2:13" x14ac:dyDescent="0.15">
      <c r="B26" s="37" t="s">
        <v>51</v>
      </c>
      <c r="C26" s="37" t="s">
        <v>714</v>
      </c>
      <c r="D26" s="37" t="s">
        <v>885</v>
      </c>
      <c r="E26" s="37" t="s">
        <v>9</v>
      </c>
      <c r="F26" s="37" t="s">
        <v>20</v>
      </c>
      <c r="G26" s="37" t="s">
        <v>42</v>
      </c>
      <c r="H26" s="37">
        <v>1663.8369</v>
      </c>
      <c r="I26" s="37">
        <v>1815.6596999999999</v>
      </c>
      <c r="J26" s="37">
        <v>1049.2485999999999</v>
      </c>
      <c r="K26" s="37">
        <v>62012.672500000001</v>
      </c>
      <c r="L26" s="37">
        <v>68679.966</v>
      </c>
      <c r="M26" s="37">
        <v>37856.881999999998</v>
      </c>
    </row>
    <row r="27" spans="2:13" x14ac:dyDescent="0.15">
      <c r="B27" s="37" t="s">
        <v>52</v>
      </c>
      <c r="C27" s="37" t="s">
        <v>714</v>
      </c>
      <c r="D27" s="37" t="s">
        <v>885</v>
      </c>
      <c r="E27" s="37" t="s">
        <v>9</v>
      </c>
      <c r="F27" s="37" t="s">
        <v>10</v>
      </c>
      <c r="G27" s="37" t="s">
        <v>17</v>
      </c>
      <c r="H27" s="37">
        <v>1.7698</v>
      </c>
      <c r="I27" s="37">
        <v>0.36170000000000002</v>
      </c>
      <c r="J27" s="37">
        <v>0.20810000000000001</v>
      </c>
      <c r="K27" s="37">
        <v>50.220500000000001</v>
      </c>
      <c r="L27" s="37">
        <v>12.068099999999999</v>
      </c>
      <c r="M27" s="37">
        <v>5.4642999999999997</v>
      </c>
    </row>
    <row r="28" spans="2:13" x14ac:dyDescent="0.15">
      <c r="B28" s="37" t="s">
        <v>53</v>
      </c>
      <c r="C28" s="37" t="s">
        <v>714</v>
      </c>
      <c r="D28" s="37" t="s">
        <v>885</v>
      </c>
      <c r="E28" s="37" t="s">
        <v>9</v>
      </c>
      <c r="F28" s="37" t="s">
        <v>10</v>
      </c>
      <c r="G28" s="37" t="s">
        <v>17</v>
      </c>
      <c r="H28" s="37">
        <v>61.981900000000003</v>
      </c>
      <c r="I28" s="37">
        <v>56.970199999999998</v>
      </c>
      <c r="J28" s="37">
        <v>23.8948</v>
      </c>
      <c r="K28" s="37">
        <v>1524.2099000000001</v>
      </c>
      <c r="L28" s="37">
        <v>1404.4858999999999</v>
      </c>
      <c r="M28" s="37">
        <v>554.68420000000003</v>
      </c>
    </row>
    <row r="29" spans="2:13" x14ac:dyDescent="0.15">
      <c r="B29" s="37" t="s">
        <v>54</v>
      </c>
      <c r="C29" s="37" t="s">
        <v>715</v>
      </c>
      <c r="D29" s="37" t="s">
        <v>886</v>
      </c>
      <c r="E29" s="37" t="s">
        <v>9</v>
      </c>
      <c r="F29" s="37" t="s">
        <v>20</v>
      </c>
      <c r="G29" s="37" t="s">
        <v>24</v>
      </c>
      <c r="H29" s="37">
        <v>78.227999999999994</v>
      </c>
      <c r="I29" s="37">
        <v>99.030500000000004</v>
      </c>
      <c r="J29" s="37">
        <v>56.674100000000003</v>
      </c>
      <c r="K29" s="37">
        <v>4816.5708000000004</v>
      </c>
      <c r="L29" s="37">
        <v>5822.6243999999997</v>
      </c>
      <c r="M29" s="37">
        <v>2923.4182999999998</v>
      </c>
    </row>
    <row r="30" spans="2:13" x14ac:dyDescent="0.15">
      <c r="B30" s="37" t="s">
        <v>55</v>
      </c>
      <c r="C30" s="37" t="s">
        <v>715</v>
      </c>
      <c r="D30" s="37" t="s">
        <v>886</v>
      </c>
      <c r="E30" s="37" t="s">
        <v>9</v>
      </c>
      <c r="F30" s="37" t="s">
        <v>10</v>
      </c>
      <c r="G30" s="37" t="s">
        <v>37</v>
      </c>
      <c r="H30" s="37">
        <v>11.11</v>
      </c>
      <c r="I30" s="37">
        <v>8.9543999999999997</v>
      </c>
      <c r="J30" s="37">
        <v>2.2328999999999999</v>
      </c>
      <c r="K30" s="37">
        <v>523.16819999999996</v>
      </c>
      <c r="L30" s="37">
        <v>387.32229999999998</v>
      </c>
      <c r="M30" s="37">
        <v>84.428399999999996</v>
      </c>
    </row>
    <row r="31" spans="2:13" x14ac:dyDescent="0.15">
      <c r="B31" s="37" t="s">
        <v>56</v>
      </c>
      <c r="C31" s="37" t="s">
        <v>715</v>
      </c>
      <c r="D31" s="37" t="s">
        <v>886</v>
      </c>
      <c r="E31" s="37" t="s">
        <v>9</v>
      </c>
      <c r="F31" s="37" t="s">
        <v>10</v>
      </c>
      <c r="G31" s="37" t="s">
        <v>37</v>
      </c>
      <c r="H31" s="37">
        <v>79.953000000000003</v>
      </c>
      <c r="I31" s="37">
        <v>73.757099999999994</v>
      </c>
      <c r="J31" s="37">
        <v>40.362299999999998</v>
      </c>
      <c r="K31" s="37">
        <v>3388.3481999999999</v>
      </c>
      <c r="L31" s="37">
        <v>2840.8843000000002</v>
      </c>
      <c r="M31" s="37">
        <v>1387.0689</v>
      </c>
    </row>
    <row r="32" spans="2:13" x14ac:dyDescent="0.15">
      <c r="B32" s="37" t="s">
        <v>57</v>
      </c>
      <c r="C32" s="37" t="s">
        <v>715</v>
      </c>
      <c r="D32" s="37" t="s">
        <v>886</v>
      </c>
      <c r="E32" s="37" t="s">
        <v>9</v>
      </c>
      <c r="F32" s="37" t="s">
        <v>10</v>
      </c>
      <c r="G32" s="37" t="s">
        <v>37</v>
      </c>
      <c r="H32" s="37">
        <v>12.195</v>
      </c>
      <c r="I32" s="37">
        <v>8.5597999999999992</v>
      </c>
      <c r="J32" s="37">
        <v>1.6516999999999999</v>
      </c>
      <c r="K32" s="37">
        <v>553.03880000000004</v>
      </c>
      <c r="L32" s="37">
        <v>369.83049999999997</v>
      </c>
      <c r="M32" s="37">
        <v>64.100099999999998</v>
      </c>
    </row>
    <row r="33" spans="2:13" x14ac:dyDescent="0.15">
      <c r="B33" s="37" t="s">
        <v>58</v>
      </c>
      <c r="C33" s="37" t="s">
        <v>715</v>
      </c>
      <c r="D33" s="37" t="s">
        <v>886</v>
      </c>
      <c r="E33" s="37" t="s">
        <v>9</v>
      </c>
      <c r="F33" s="37" t="s">
        <v>10</v>
      </c>
      <c r="G33" s="37" t="s">
        <v>37</v>
      </c>
      <c r="H33" s="37">
        <v>60.510800000000003</v>
      </c>
      <c r="I33" s="37">
        <v>52.405999999999999</v>
      </c>
      <c r="J33" s="37">
        <v>30.122800000000002</v>
      </c>
      <c r="K33" s="37">
        <v>2540.1291999999999</v>
      </c>
      <c r="L33" s="37">
        <v>2011.4869000000001</v>
      </c>
      <c r="M33" s="37">
        <v>1066.0352</v>
      </c>
    </row>
    <row r="34" spans="2:13" x14ac:dyDescent="0.15">
      <c r="B34" s="37" t="s">
        <v>59</v>
      </c>
      <c r="C34" s="37" t="s">
        <v>715</v>
      </c>
      <c r="D34" s="37" t="s">
        <v>886</v>
      </c>
      <c r="E34" s="37" t="s">
        <v>9</v>
      </c>
      <c r="F34" s="37" t="s">
        <v>10</v>
      </c>
      <c r="G34" s="37" t="s">
        <v>37</v>
      </c>
      <c r="H34" s="37">
        <v>47.8005</v>
      </c>
      <c r="I34" s="37">
        <v>51.199100000000001</v>
      </c>
      <c r="J34" s="37">
        <v>29.6906</v>
      </c>
      <c r="K34" s="37">
        <v>1970.2177999999999</v>
      </c>
      <c r="L34" s="37">
        <v>1924.2328</v>
      </c>
      <c r="M34" s="37">
        <v>1027.8571999999999</v>
      </c>
    </row>
    <row r="35" spans="2:13" x14ac:dyDescent="0.15">
      <c r="B35" s="37" t="s">
        <v>60</v>
      </c>
      <c r="C35" s="37" t="s">
        <v>715</v>
      </c>
      <c r="D35" s="37" t="s">
        <v>886</v>
      </c>
      <c r="E35" s="37" t="s">
        <v>9</v>
      </c>
      <c r="F35" s="37" t="s">
        <v>20</v>
      </c>
      <c r="G35" s="37" t="s">
        <v>37</v>
      </c>
      <c r="I35" s="37">
        <v>3.2536</v>
      </c>
      <c r="J35" s="37">
        <v>4.3144</v>
      </c>
      <c r="L35" s="37">
        <v>139.34979999999999</v>
      </c>
      <c r="M35" s="37">
        <v>169.84690000000001</v>
      </c>
    </row>
    <row r="36" spans="2:13" x14ac:dyDescent="0.15">
      <c r="B36" s="37" t="s">
        <v>61</v>
      </c>
      <c r="C36" s="37" t="s">
        <v>715</v>
      </c>
      <c r="D36" s="37" t="s">
        <v>886</v>
      </c>
      <c r="E36" s="37" t="s">
        <v>9</v>
      </c>
      <c r="F36" s="37" t="s">
        <v>20</v>
      </c>
      <c r="G36" s="37" t="s">
        <v>37</v>
      </c>
      <c r="H36" s="37">
        <v>5.5922000000000001</v>
      </c>
      <c r="I36" s="37">
        <v>5.3672000000000004</v>
      </c>
      <c r="J36" s="37">
        <v>2.5727000000000002</v>
      </c>
      <c r="K36" s="37">
        <v>261.04790000000003</v>
      </c>
      <c r="L36" s="37">
        <v>232.43600000000001</v>
      </c>
      <c r="M36" s="37">
        <v>93.995500000000007</v>
      </c>
    </row>
    <row r="37" spans="2:13" x14ac:dyDescent="0.15">
      <c r="B37" s="37" t="s">
        <v>62</v>
      </c>
      <c r="C37" s="37" t="s">
        <v>715</v>
      </c>
      <c r="D37" s="37" t="s">
        <v>886</v>
      </c>
      <c r="E37" s="37" t="s">
        <v>9</v>
      </c>
      <c r="F37" s="37" t="s">
        <v>20</v>
      </c>
      <c r="G37" s="37" t="s">
        <v>37</v>
      </c>
      <c r="H37" s="37">
        <v>53.490699999999997</v>
      </c>
      <c r="I37" s="37">
        <v>44.783700000000003</v>
      </c>
      <c r="J37" s="37">
        <v>26.440899999999999</v>
      </c>
      <c r="K37" s="37">
        <v>2262.5698000000002</v>
      </c>
      <c r="L37" s="37">
        <v>1667.4681</v>
      </c>
      <c r="M37" s="37">
        <v>920.88139999999999</v>
      </c>
    </row>
    <row r="38" spans="2:13" x14ac:dyDescent="0.15">
      <c r="B38" s="37" t="s">
        <v>63</v>
      </c>
      <c r="C38" s="37" t="s">
        <v>715</v>
      </c>
      <c r="D38" s="37" t="s">
        <v>886</v>
      </c>
      <c r="E38" s="37" t="s">
        <v>9</v>
      </c>
      <c r="F38" s="37" t="s">
        <v>64</v>
      </c>
      <c r="G38" s="37" t="s">
        <v>37</v>
      </c>
      <c r="H38" s="37">
        <v>8.2710000000000008</v>
      </c>
      <c r="I38" s="37">
        <v>9.9309999999999992</v>
      </c>
      <c r="J38" s="37">
        <v>1.1805000000000001</v>
      </c>
      <c r="K38" s="37">
        <v>392.0086</v>
      </c>
      <c r="L38" s="37">
        <v>426.19690000000003</v>
      </c>
      <c r="M38" s="37">
        <v>46.280799999999999</v>
      </c>
    </row>
    <row r="39" spans="2:13" x14ac:dyDescent="0.15">
      <c r="B39" s="37" t="s">
        <v>65</v>
      </c>
      <c r="C39" s="37" t="s">
        <v>715</v>
      </c>
      <c r="D39" s="37" t="s">
        <v>886</v>
      </c>
      <c r="E39" s="37" t="s">
        <v>9</v>
      </c>
      <c r="F39" s="37" t="s">
        <v>64</v>
      </c>
      <c r="G39" s="37" t="s">
        <v>37</v>
      </c>
      <c r="H39" s="37">
        <v>70.562299999999993</v>
      </c>
      <c r="I39" s="37">
        <v>56.785600000000002</v>
      </c>
      <c r="J39" s="37">
        <v>30.796600000000002</v>
      </c>
      <c r="K39" s="37">
        <v>2842.3220000000001</v>
      </c>
      <c r="L39" s="37">
        <v>2121.0371</v>
      </c>
      <c r="M39" s="37">
        <v>1067.8224</v>
      </c>
    </row>
    <row r="40" spans="2:13" x14ac:dyDescent="0.15">
      <c r="B40" s="37" t="s">
        <v>66</v>
      </c>
      <c r="C40" s="37" t="s">
        <v>715</v>
      </c>
      <c r="D40" s="37" t="s">
        <v>886</v>
      </c>
      <c r="E40" s="37" t="s">
        <v>9</v>
      </c>
      <c r="F40" s="37" t="s">
        <v>20</v>
      </c>
      <c r="G40" s="37" t="s">
        <v>37</v>
      </c>
      <c r="H40" s="37">
        <v>34.495899999999999</v>
      </c>
      <c r="I40" s="37">
        <v>35.333399999999997</v>
      </c>
      <c r="J40" s="37">
        <v>28.078199999999999</v>
      </c>
      <c r="K40" s="37">
        <v>1446.3839</v>
      </c>
      <c r="L40" s="37">
        <v>1359.9783</v>
      </c>
      <c r="M40" s="37">
        <v>967.9162</v>
      </c>
    </row>
    <row r="41" spans="2:13" x14ac:dyDescent="0.15">
      <c r="B41" s="37" t="s">
        <v>67</v>
      </c>
      <c r="C41" s="37" t="s">
        <v>715</v>
      </c>
      <c r="D41" s="37" t="s">
        <v>886</v>
      </c>
      <c r="E41" s="37" t="s">
        <v>9</v>
      </c>
      <c r="F41" s="37" t="s">
        <v>30</v>
      </c>
      <c r="G41" s="37" t="s">
        <v>68</v>
      </c>
      <c r="H41" s="37">
        <v>49.5715</v>
      </c>
      <c r="I41" s="37">
        <v>57.943199999999997</v>
      </c>
      <c r="J41" s="37">
        <v>41.595799999999997</v>
      </c>
      <c r="K41" s="37">
        <v>2203.8969999999999</v>
      </c>
      <c r="L41" s="37">
        <v>2377.6914999999999</v>
      </c>
      <c r="M41" s="37">
        <v>1614.8326999999999</v>
      </c>
    </row>
    <row r="42" spans="2:13" x14ac:dyDescent="0.15">
      <c r="B42" s="37" t="s">
        <v>70</v>
      </c>
      <c r="C42" s="37" t="s">
        <v>716</v>
      </c>
      <c r="D42" s="37" t="s">
        <v>887</v>
      </c>
      <c r="E42" s="37" t="s">
        <v>9</v>
      </c>
      <c r="F42" s="37" t="s">
        <v>20</v>
      </c>
      <c r="G42" s="37" t="s">
        <v>24</v>
      </c>
      <c r="J42" s="37">
        <v>5.7117000000000004</v>
      </c>
      <c r="M42" s="37">
        <v>338.46300000000002</v>
      </c>
    </row>
    <row r="43" spans="2:13" x14ac:dyDescent="0.15">
      <c r="B43" s="37" t="s">
        <v>71</v>
      </c>
      <c r="C43" s="37" t="s">
        <v>716</v>
      </c>
      <c r="D43" s="37" t="s">
        <v>887</v>
      </c>
      <c r="E43" s="37" t="s">
        <v>9</v>
      </c>
      <c r="F43" s="37" t="s">
        <v>20</v>
      </c>
      <c r="G43" s="37" t="s">
        <v>68</v>
      </c>
      <c r="I43" s="37">
        <v>4.4634999999999998</v>
      </c>
      <c r="J43" s="37">
        <v>0.1893</v>
      </c>
      <c r="L43" s="37">
        <v>231.33420000000001</v>
      </c>
      <c r="M43" s="37">
        <v>9.7352000000000007</v>
      </c>
    </row>
    <row r="44" spans="2:13" x14ac:dyDescent="0.15">
      <c r="B44" s="37" t="s">
        <v>72</v>
      </c>
      <c r="C44" s="37" t="s">
        <v>717</v>
      </c>
      <c r="D44" s="37" t="s">
        <v>888</v>
      </c>
      <c r="E44" s="37" t="s">
        <v>9</v>
      </c>
      <c r="F44" s="37" t="s">
        <v>20</v>
      </c>
      <c r="G44" s="37" t="s">
        <v>24</v>
      </c>
      <c r="H44" s="37">
        <v>0.70520000000000005</v>
      </c>
      <c r="K44" s="37">
        <v>47.325299999999999</v>
      </c>
    </row>
    <row r="45" spans="2:13" x14ac:dyDescent="0.15">
      <c r="B45" s="37" t="s">
        <v>73</v>
      </c>
      <c r="C45" s="37" t="s">
        <v>718</v>
      </c>
      <c r="D45" s="37" t="s">
        <v>889</v>
      </c>
      <c r="E45" s="37" t="s">
        <v>9</v>
      </c>
      <c r="F45" s="37" t="s">
        <v>20</v>
      </c>
      <c r="G45" s="37" t="s">
        <v>21</v>
      </c>
      <c r="H45" s="37">
        <v>0.76280000000000003</v>
      </c>
      <c r="I45" s="37">
        <v>0.23669999999999999</v>
      </c>
      <c r="J45" s="37">
        <v>0.1135</v>
      </c>
      <c r="K45" s="37">
        <v>43.074599999999997</v>
      </c>
      <c r="L45" s="37">
        <v>13.9861</v>
      </c>
      <c r="M45" s="37">
        <v>6.5488999999999997</v>
      </c>
    </row>
    <row r="46" spans="2:13" x14ac:dyDescent="0.15">
      <c r="B46" s="37" t="s">
        <v>74</v>
      </c>
      <c r="C46" s="37" t="s">
        <v>718</v>
      </c>
      <c r="D46" s="37" t="s">
        <v>889</v>
      </c>
      <c r="E46" s="37" t="s">
        <v>9</v>
      </c>
      <c r="F46" s="37" t="s">
        <v>64</v>
      </c>
      <c r="G46" s="37" t="s">
        <v>21</v>
      </c>
      <c r="H46" s="37">
        <v>14.3467</v>
      </c>
      <c r="I46" s="37">
        <v>14.9893</v>
      </c>
      <c r="J46" s="37">
        <v>7.9457000000000004</v>
      </c>
      <c r="K46" s="37">
        <v>749.43960000000004</v>
      </c>
      <c r="L46" s="37">
        <v>788.71510000000001</v>
      </c>
      <c r="M46" s="37">
        <v>388.85250000000002</v>
      </c>
    </row>
    <row r="47" spans="2:13" x14ac:dyDescent="0.15">
      <c r="B47" s="37" t="s">
        <v>75</v>
      </c>
      <c r="C47" s="37" t="s">
        <v>718</v>
      </c>
      <c r="D47" s="37" t="s">
        <v>889</v>
      </c>
      <c r="E47" s="37" t="s">
        <v>9</v>
      </c>
      <c r="F47" s="37" t="s">
        <v>10</v>
      </c>
      <c r="G47" s="37" t="s">
        <v>21</v>
      </c>
      <c r="H47" s="37">
        <v>9.9741999999999997</v>
      </c>
      <c r="I47" s="37">
        <v>17.767600000000002</v>
      </c>
      <c r="J47" s="37">
        <v>9.7081</v>
      </c>
      <c r="K47" s="37">
        <v>530.94489999999996</v>
      </c>
      <c r="L47" s="37">
        <v>921.25450000000001</v>
      </c>
      <c r="M47" s="37">
        <v>442.90179999999998</v>
      </c>
    </row>
    <row r="48" spans="2:13" x14ac:dyDescent="0.15">
      <c r="B48" s="37" t="s">
        <v>76</v>
      </c>
      <c r="C48" s="37" t="s">
        <v>718</v>
      </c>
      <c r="D48" s="37" t="s">
        <v>889</v>
      </c>
      <c r="E48" s="37" t="s">
        <v>9</v>
      </c>
      <c r="F48" s="37" t="s">
        <v>10</v>
      </c>
      <c r="G48" s="37" t="s">
        <v>21</v>
      </c>
      <c r="H48" s="37">
        <v>15.1808</v>
      </c>
      <c r="I48" s="37">
        <v>9.7044999999999995</v>
      </c>
      <c r="J48" s="37">
        <v>2.6509999999999998</v>
      </c>
      <c r="K48" s="37">
        <v>814.55730000000005</v>
      </c>
      <c r="L48" s="37">
        <v>531.53909999999996</v>
      </c>
      <c r="M48" s="37">
        <v>144.98150000000001</v>
      </c>
    </row>
    <row r="49" spans="2:13" x14ac:dyDescent="0.15">
      <c r="B49" s="37" t="s">
        <v>77</v>
      </c>
      <c r="C49" s="37" t="s">
        <v>718</v>
      </c>
      <c r="D49" s="37" t="s">
        <v>889</v>
      </c>
      <c r="E49" s="37" t="s">
        <v>9</v>
      </c>
      <c r="F49" s="37" t="s">
        <v>20</v>
      </c>
      <c r="G49" s="37" t="s">
        <v>21</v>
      </c>
      <c r="H49" s="37">
        <v>18.2471</v>
      </c>
      <c r="I49" s="37">
        <v>19.903099999999998</v>
      </c>
      <c r="J49" s="37">
        <v>8.7614000000000001</v>
      </c>
      <c r="K49" s="37">
        <v>989.38980000000004</v>
      </c>
      <c r="L49" s="37">
        <v>1044.1582000000001</v>
      </c>
      <c r="M49" s="37">
        <v>387.44209999999998</v>
      </c>
    </row>
    <row r="50" spans="2:13" x14ac:dyDescent="0.15">
      <c r="B50" s="37" t="s">
        <v>78</v>
      </c>
      <c r="C50" s="37" t="s">
        <v>718</v>
      </c>
      <c r="D50" s="37" t="s">
        <v>889</v>
      </c>
      <c r="E50" s="37" t="s">
        <v>9</v>
      </c>
      <c r="F50" s="37" t="s">
        <v>20</v>
      </c>
      <c r="G50" s="37" t="s">
        <v>21</v>
      </c>
      <c r="H50" s="37">
        <v>13.7898</v>
      </c>
      <c r="I50" s="37">
        <v>10.6778</v>
      </c>
      <c r="J50" s="37">
        <v>5.2233000000000001</v>
      </c>
      <c r="K50" s="37">
        <v>726.86360000000002</v>
      </c>
      <c r="L50" s="37">
        <v>563.28449999999998</v>
      </c>
      <c r="M50" s="37">
        <v>268.45999999999998</v>
      </c>
    </row>
    <row r="51" spans="2:13" x14ac:dyDescent="0.15">
      <c r="B51" s="37" t="s">
        <v>80</v>
      </c>
      <c r="C51" s="37" t="s">
        <v>718</v>
      </c>
      <c r="D51" s="37" t="s">
        <v>889</v>
      </c>
      <c r="E51" s="37" t="s">
        <v>9</v>
      </c>
      <c r="F51" s="37" t="s">
        <v>20</v>
      </c>
      <c r="G51" s="37" t="s">
        <v>24</v>
      </c>
      <c r="H51" s="37">
        <v>29.590800000000002</v>
      </c>
      <c r="I51" s="37">
        <v>20.845300000000002</v>
      </c>
      <c r="J51" s="37">
        <v>11.449400000000001</v>
      </c>
      <c r="K51" s="37">
        <v>1741.4848</v>
      </c>
      <c r="L51" s="37">
        <v>1127.5655999999999</v>
      </c>
      <c r="M51" s="37">
        <v>585.96109999999999</v>
      </c>
    </row>
    <row r="52" spans="2:13" x14ac:dyDescent="0.15">
      <c r="B52" s="37" t="s">
        <v>81</v>
      </c>
      <c r="C52" s="37" t="s">
        <v>718</v>
      </c>
      <c r="D52" s="37" t="s">
        <v>889</v>
      </c>
      <c r="E52" s="37" t="s">
        <v>9</v>
      </c>
      <c r="F52" s="37" t="s">
        <v>64</v>
      </c>
      <c r="G52" s="37" t="s">
        <v>42</v>
      </c>
      <c r="H52" s="37">
        <v>0.72840000000000005</v>
      </c>
      <c r="K52" s="37">
        <v>51.0182</v>
      </c>
    </row>
    <row r="53" spans="2:13" x14ac:dyDescent="0.15">
      <c r="B53" s="37" t="s">
        <v>82</v>
      </c>
      <c r="C53" s="37" t="s">
        <v>718</v>
      </c>
      <c r="D53" s="37" t="s">
        <v>889</v>
      </c>
      <c r="E53" s="37" t="s">
        <v>9</v>
      </c>
      <c r="F53" s="37" t="s">
        <v>30</v>
      </c>
      <c r="G53" s="37" t="s">
        <v>68</v>
      </c>
      <c r="H53" s="37">
        <v>2.0455000000000001</v>
      </c>
      <c r="I53" s="37">
        <v>0.30070000000000002</v>
      </c>
      <c r="J53" s="37">
        <v>9.6000000000000002E-2</v>
      </c>
      <c r="K53" s="37">
        <v>81.869600000000005</v>
      </c>
      <c r="L53" s="37">
        <v>11.870100000000001</v>
      </c>
      <c r="M53" s="37">
        <v>3.7711999999999999</v>
      </c>
    </row>
    <row r="54" spans="2:13" x14ac:dyDescent="0.15">
      <c r="B54" s="37" t="s">
        <v>85</v>
      </c>
      <c r="C54" s="37" t="s">
        <v>719</v>
      </c>
      <c r="D54" s="37" t="s">
        <v>890</v>
      </c>
      <c r="E54" s="37" t="s">
        <v>9</v>
      </c>
      <c r="F54" s="37" t="s">
        <v>10</v>
      </c>
      <c r="G54" s="37" t="s">
        <v>24</v>
      </c>
      <c r="H54" s="37">
        <v>1.0717000000000001</v>
      </c>
      <c r="I54" s="37">
        <v>1.6845000000000001</v>
      </c>
      <c r="J54" s="37">
        <v>0.2092</v>
      </c>
      <c r="K54" s="37">
        <v>53.428199999999997</v>
      </c>
      <c r="L54" s="37">
        <v>83.401399999999995</v>
      </c>
      <c r="M54" s="37">
        <v>9.5612999999999992</v>
      </c>
    </row>
    <row r="55" spans="2:13" x14ac:dyDescent="0.15">
      <c r="B55" s="37" t="s">
        <v>86</v>
      </c>
      <c r="C55" s="37" t="s">
        <v>719</v>
      </c>
      <c r="D55" s="37" t="s">
        <v>890</v>
      </c>
      <c r="E55" s="37" t="s">
        <v>9</v>
      </c>
      <c r="F55" s="37" t="s">
        <v>10</v>
      </c>
      <c r="G55" s="37" t="s">
        <v>42</v>
      </c>
      <c r="H55" s="37">
        <v>0.46760000000000002</v>
      </c>
      <c r="I55" s="37">
        <v>0.37340000000000001</v>
      </c>
      <c r="J55" s="37">
        <v>0.47289999999999999</v>
      </c>
      <c r="K55" s="37">
        <v>17.929200000000002</v>
      </c>
      <c r="L55" s="37">
        <v>13.441700000000001</v>
      </c>
      <c r="M55" s="37">
        <v>18.149699999999999</v>
      </c>
    </row>
    <row r="56" spans="2:13" x14ac:dyDescent="0.15">
      <c r="B56" s="37" t="s">
        <v>87</v>
      </c>
      <c r="C56" s="37" t="s">
        <v>720</v>
      </c>
      <c r="D56" s="37" t="s">
        <v>891</v>
      </c>
      <c r="E56" s="37" t="s">
        <v>9</v>
      </c>
      <c r="F56" s="37" t="s">
        <v>10</v>
      </c>
      <c r="G56" s="37" t="s">
        <v>11</v>
      </c>
      <c r="H56" s="37">
        <v>4.4499999999999998E-2</v>
      </c>
      <c r="I56" s="37">
        <v>6.2E-2</v>
      </c>
      <c r="K56" s="37">
        <v>0.36759999999999998</v>
      </c>
      <c r="L56" s="37">
        <v>0.48380000000000001</v>
      </c>
    </row>
    <row r="57" spans="2:13" x14ac:dyDescent="0.15">
      <c r="B57" s="37" t="s">
        <v>90</v>
      </c>
      <c r="C57" s="37" t="s">
        <v>721</v>
      </c>
      <c r="D57" s="37" t="s">
        <v>892</v>
      </c>
      <c r="E57" s="37" t="s">
        <v>9</v>
      </c>
      <c r="F57" s="37" t="s">
        <v>10</v>
      </c>
      <c r="G57" s="37" t="s">
        <v>42</v>
      </c>
      <c r="H57" s="37">
        <v>3.3401000000000001</v>
      </c>
      <c r="I57" s="37">
        <v>5.1974</v>
      </c>
      <c r="J57" s="37">
        <v>3.7094999999999998</v>
      </c>
      <c r="K57" s="37">
        <v>168.65979999999999</v>
      </c>
      <c r="L57" s="37">
        <v>278.62639999999999</v>
      </c>
      <c r="M57" s="37">
        <v>222.0746</v>
      </c>
    </row>
    <row r="58" spans="2:13" x14ac:dyDescent="0.15">
      <c r="B58" s="37" t="s">
        <v>91</v>
      </c>
      <c r="C58" s="37" t="s">
        <v>721</v>
      </c>
      <c r="D58" s="37" t="s">
        <v>893</v>
      </c>
      <c r="E58" s="37" t="s">
        <v>9</v>
      </c>
      <c r="F58" s="37" t="s">
        <v>30</v>
      </c>
      <c r="G58" s="37" t="s">
        <v>24</v>
      </c>
      <c r="H58" s="37">
        <v>1.2582</v>
      </c>
      <c r="I58" s="37">
        <v>4.4390999999999998</v>
      </c>
      <c r="J58" s="37">
        <v>0.70909999999999995</v>
      </c>
      <c r="K58" s="37">
        <v>67.526600000000002</v>
      </c>
      <c r="L58" s="37">
        <v>226.15649999999999</v>
      </c>
      <c r="M58" s="37">
        <v>33.759099999999997</v>
      </c>
    </row>
    <row r="59" spans="2:13" x14ac:dyDescent="0.15">
      <c r="B59" s="37" t="s">
        <v>92</v>
      </c>
      <c r="C59" s="37" t="s">
        <v>721</v>
      </c>
      <c r="D59" s="37" t="s">
        <v>893</v>
      </c>
      <c r="E59" s="37" t="s">
        <v>9</v>
      </c>
      <c r="F59" s="37" t="s">
        <v>30</v>
      </c>
      <c r="G59" s="37" t="s">
        <v>24</v>
      </c>
      <c r="H59" s="37">
        <v>4.5986000000000002</v>
      </c>
      <c r="I59" s="37">
        <v>6.1303000000000001</v>
      </c>
      <c r="J59" s="37">
        <v>2.8555999999999999</v>
      </c>
      <c r="K59" s="37">
        <v>228.69929999999999</v>
      </c>
      <c r="L59" s="37">
        <v>310.51369999999997</v>
      </c>
      <c r="M59" s="37">
        <v>123.6022</v>
      </c>
    </row>
    <row r="60" spans="2:13" x14ac:dyDescent="0.15">
      <c r="B60" s="37" t="s">
        <v>93</v>
      </c>
      <c r="C60" s="37" t="s">
        <v>721</v>
      </c>
      <c r="D60" s="37" t="s">
        <v>893</v>
      </c>
      <c r="E60" s="37" t="s">
        <v>9</v>
      </c>
      <c r="F60" s="37" t="s">
        <v>30</v>
      </c>
      <c r="G60" s="37" t="s">
        <v>42</v>
      </c>
      <c r="H60" s="37">
        <v>0.94640000000000002</v>
      </c>
      <c r="I60" s="37">
        <v>1.6005</v>
      </c>
      <c r="J60" s="37">
        <v>1.0179</v>
      </c>
      <c r="K60" s="37">
        <v>54.868499999999997</v>
      </c>
      <c r="L60" s="37">
        <v>87.027500000000003</v>
      </c>
      <c r="M60" s="37">
        <v>38.080399999999997</v>
      </c>
    </row>
    <row r="61" spans="2:13" x14ac:dyDescent="0.15">
      <c r="B61" s="37" t="s">
        <v>94</v>
      </c>
      <c r="C61" s="37" t="s">
        <v>721</v>
      </c>
      <c r="D61" s="37" t="s">
        <v>893</v>
      </c>
      <c r="E61" s="37" t="s">
        <v>9</v>
      </c>
      <c r="F61" s="37" t="s">
        <v>20</v>
      </c>
      <c r="G61" s="37" t="s">
        <v>42</v>
      </c>
      <c r="H61" s="37">
        <v>1.8199000000000001</v>
      </c>
      <c r="I61" s="37">
        <v>0.76910000000000001</v>
      </c>
      <c r="J61" s="37">
        <v>0.73480000000000001</v>
      </c>
      <c r="K61" s="37">
        <v>83.522300000000001</v>
      </c>
      <c r="L61" s="37">
        <v>35.127499999999998</v>
      </c>
      <c r="M61" s="37">
        <v>37.258200000000002</v>
      </c>
    </row>
    <row r="62" spans="2:13" x14ac:dyDescent="0.15">
      <c r="B62" s="37" t="s">
        <v>95</v>
      </c>
      <c r="C62" s="37" t="s">
        <v>722</v>
      </c>
      <c r="D62" s="37" t="s">
        <v>894</v>
      </c>
      <c r="E62" s="37" t="s">
        <v>9</v>
      </c>
      <c r="F62" s="37" t="s">
        <v>30</v>
      </c>
      <c r="G62" s="37" t="s">
        <v>24</v>
      </c>
      <c r="I62" s="37">
        <v>10.5616</v>
      </c>
      <c r="J62" s="37">
        <v>42.6479</v>
      </c>
      <c r="L62" s="37">
        <v>483.39569999999998</v>
      </c>
      <c r="M62" s="37">
        <v>1689.356</v>
      </c>
    </row>
    <row r="63" spans="2:13" x14ac:dyDescent="0.15">
      <c r="B63" s="37" t="s">
        <v>96</v>
      </c>
      <c r="C63" s="37" t="s">
        <v>722</v>
      </c>
      <c r="D63" s="37" t="s">
        <v>894</v>
      </c>
      <c r="E63" s="37" t="s">
        <v>9</v>
      </c>
      <c r="F63" s="37" t="s">
        <v>30</v>
      </c>
      <c r="G63" s="37" t="s">
        <v>15</v>
      </c>
      <c r="I63" s="37">
        <v>2.0855999999999999</v>
      </c>
      <c r="J63" s="37">
        <v>2.5316000000000001</v>
      </c>
      <c r="L63" s="37">
        <v>61.262700000000002</v>
      </c>
      <c r="M63" s="37">
        <v>71.165300000000002</v>
      </c>
    </row>
    <row r="64" spans="2:13" x14ac:dyDescent="0.15">
      <c r="B64" s="37" t="s">
        <v>97</v>
      </c>
      <c r="C64" s="37" t="s">
        <v>722</v>
      </c>
      <c r="D64" s="37" t="s">
        <v>894</v>
      </c>
      <c r="E64" s="37" t="s">
        <v>9</v>
      </c>
      <c r="F64" s="37" t="s">
        <v>30</v>
      </c>
      <c r="G64" s="37" t="s">
        <v>42</v>
      </c>
      <c r="I64" s="37">
        <v>0.54479999999999995</v>
      </c>
      <c r="J64" s="37">
        <v>7.6315999999999997</v>
      </c>
      <c r="L64" s="37">
        <v>20.880700000000001</v>
      </c>
      <c r="M64" s="37">
        <v>330.70479999999998</v>
      </c>
    </row>
    <row r="65" spans="2:13" x14ac:dyDescent="0.15">
      <c r="B65" s="37" t="s">
        <v>98</v>
      </c>
      <c r="C65" s="37" t="s">
        <v>723</v>
      </c>
      <c r="D65" s="37" t="s">
        <v>895</v>
      </c>
      <c r="E65" s="37" t="s">
        <v>9</v>
      </c>
      <c r="F65" s="37" t="s">
        <v>64</v>
      </c>
      <c r="G65" s="37" t="s">
        <v>99</v>
      </c>
      <c r="I65" s="37">
        <v>1.5012000000000001</v>
      </c>
      <c r="J65" s="37">
        <v>0.18310000000000001</v>
      </c>
      <c r="L65" s="37">
        <v>36.194499999999998</v>
      </c>
      <c r="M65" s="37">
        <v>4.9927999999999999</v>
      </c>
    </row>
    <row r="66" spans="2:13" x14ac:dyDescent="0.15">
      <c r="B66" s="37" t="s">
        <v>100</v>
      </c>
      <c r="C66" s="37" t="s">
        <v>723</v>
      </c>
      <c r="D66" s="37" t="s">
        <v>895</v>
      </c>
      <c r="E66" s="37" t="s">
        <v>9</v>
      </c>
      <c r="F66" s="37" t="s">
        <v>30</v>
      </c>
      <c r="G66" s="37" t="s">
        <v>42</v>
      </c>
      <c r="H66" s="37">
        <v>3.1665000000000001</v>
      </c>
      <c r="I66" s="37">
        <v>0.6875</v>
      </c>
      <c r="J66" s="37">
        <v>0.27989999999999998</v>
      </c>
      <c r="K66" s="37">
        <v>65.203199999999995</v>
      </c>
      <c r="L66" s="37">
        <v>14.1759</v>
      </c>
      <c r="M66" s="37">
        <v>5.1737000000000002</v>
      </c>
    </row>
    <row r="67" spans="2:13" x14ac:dyDescent="0.15">
      <c r="B67" s="37" t="s">
        <v>101</v>
      </c>
      <c r="C67" s="37" t="s">
        <v>724</v>
      </c>
      <c r="D67" s="37" t="s">
        <v>896</v>
      </c>
      <c r="E67" s="37" t="s">
        <v>9</v>
      </c>
      <c r="F67" s="37" t="s">
        <v>20</v>
      </c>
      <c r="G67" s="37" t="s">
        <v>42</v>
      </c>
      <c r="J67" s="37">
        <v>5.57E-2</v>
      </c>
      <c r="M67" s="37">
        <v>1.7425999999999999</v>
      </c>
    </row>
    <row r="68" spans="2:13" x14ac:dyDescent="0.15">
      <c r="B68" s="37" t="s">
        <v>104</v>
      </c>
      <c r="C68" s="37" t="s">
        <v>725</v>
      </c>
      <c r="D68" s="37" t="s">
        <v>897</v>
      </c>
      <c r="E68" s="37" t="s">
        <v>9</v>
      </c>
      <c r="F68" s="37" t="s">
        <v>20</v>
      </c>
      <c r="G68" s="37" t="s">
        <v>105</v>
      </c>
      <c r="H68" s="37">
        <v>209.29769999999999</v>
      </c>
      <c r="I68" s="37">
        <v>236.50559999999999</v>
      </c>
      <c r="J68" s="37">
        <v>198.2927</v>
      </c>
      <c r="K68" s="37">
        <v>7336.5478999999996</v>
      </c>
      <c r="L68" s="37">
        <v>8103.1085000000003</v>
      </c>
      <c r="M68" s="37">
        <v>7048.5825999999997</v>
      </c>
    </row>
    <row r="69" spans="2:13" x14ac:dyDescent="0.15">
      <c r="B69" s="37" t="s">
        <v>106</v>
      </c>
      <c r="C69" s="37" t="s">
        <v>725</v>
      </c>
      <c r="D69" s="37" t="s">
        <v>897</v>
      </c>
      <c r="E69" s="37" t="s">
        <v>9</v>
      </c>
      <c r="F69" s="37" t="s">
        <v>20</v>
      </c>
      <c r="G69" s="37" t="s">
        <v>105</v>
      </c>
      <c r="H69" s="37">
        <v>2.7799999999999998E-2</v>
      </c>
      <c r="I69" s="37">
        <v>4.5999999999999999E-3</v>
      </c>
      <c r="K69" s="37">
        <v>1.2</v>
      </c>
      <c r="L69" s="37">
        <v>0.2</v>
      </c>
    </row>
    <row r="70" spans="2:13" x14ac:dyDescent="0.15">
      <c r="B70" s="37" t="s">
        <v>107</v>
      </c>
      <c r="C70" s="37" t="s">
        <v>725</v>
      </c>
      <c r="D70" s="37" t="s">
        <v>897</v>
      </c>
      <c r="E70" s="37" t="s">
        <v>9</v>
      </c>
      <c r="F70" s="37" t="s">
        <v>20</v>
      </c>
      <c r="G70" s="37" t="s">
        <v>11</v>
      </c>
      <c r="H70" s="37">
        <v>27.777100000000001</v>
      </c>
      <c r="I70" s="37">
        <v>19.717700000000001</v>
      </c>
      <c r="J70" s="37">
        <v>14.4848</v>
      </c>
      <c r="K70" s="37">
        <v>429.91730000000001</v>
      </c>
      <c r="L70" s="37">
        <v>309.96710000000002</v>
      </c>
      <c r="M70" s="37">
        <v>229.3313</v>
      </c>
    </row>
    <row r="71" spans="2:13" x14ac:dyDescent="0.15">
      <c r="B71" s="37" t="s">
        <v>108</v>
      </c>
      <c r="C71" s="37" t="s">
        <v>725</v>
      </c>
      <c r="D71" s="37" t="s">
        <v>897</v>
      </c>
      <c r="E71" s="37" t="s">
        <v>9</v>
      </c>
      <c r="F71" s="37" t="s">
        <v>64</v>
      </c>
      <c r="G71" s="37" t="s">
        <v>11</v>
      </c>
      <c r="H71" s="37">
        <v>40.515599999999999</v>
      </c>
      <c r="I71" s="37">
        <v>34.999099999999999</v>
      </c>
      <c r="J71" s="37">
        <v>5.7746000000000004</v>
      </c>
      <c r="K71" s="37">
        <v>630.63189999999997</v>
      </c>
      <c r="L71" s="37">
        <v>558.36739999999998</v>
      </c>
      <c r="M71" s="37">
        <v>90.998999999999995</v>
      </c>
    </row>
    <row r="72" spans="2:13" x14ac:dyDescent="0.15">
      <c r="B72" s="37" t="s">
        <v>109</v>
      </c>
      <c r="C72" s="37" t="s">
        <v>725</v>
      </c>
      <c r="D72" s="37" t="s">
        <v>897</v>
      </c>
      <c r="E72" s="37" t="s">
        <v>9</v>
      </c>
      <c r="F72" s="37" t="s">
        <v>20</v>
      </c>
      <c r="G72" s="37" t="s">
        <v>88</v>
      </c>
      <c r="H72" s="37">
        <v>61.397500000000001</v>
      </c>
      <c r="I72" s="37">
        <v>45.295999999999999</v>
      </c>
      <c r="J72" s="37">
        <v>19.337599999999998</v>
      </c>
      <c r="K72" s="37">
        <v>1027.2618</v>
      </c>
      <c r="L72" s="37">
        <v>758.06629999999996</v>
      </c>
      <c r="M72" s="37">
        <v>328.18349999999998</v>
      </c>
    </row>
    <row r="73" spans="2:13" x14ac:dyDescent="0.15">
      <c r="B73" s="37" t="s">
        <v>110</v>
      </c>
      <c r="C73" s="37" t="s">
        <v>725</v>
      </c>
      <c r="D73" s="37" t="s">
        <v>897</v>
      </c>
      <c r="E73" s="37" t="s">
        <v>9</v>
      </c>
      <c r="F73" s="37" t="s">
        <v>20</v>
      </c>
      <c r="G73" s="37" t="s">
        <v>88</v>
      </c>
      <c r="H73" s="37">
        <v>1.03E-2</v>
      </c>
      <c r="I73" s="37">
        <v>1.6999999999999999E-3</v>
      </c>
      <c r="K73" s="37">
        <v>0.21429999999999999</v>
      </c>
      <c r="L73" s="37">
        <v>3.5700000000000003E-2</v>
      </c>
    </row>
    <row r="74" spans="2:13" x14ac:dyDescent="0.15">
      <c r="B74" s="37" t="s">
        <v>111</v>
      </c>
      <c r="C74" s="37" t="s">
        <v>725</v>
      </c>
      <c r="D74" s="37" t="s">
        <v>897</v>
      </c>
      <c r="E74" s="37" t="s">
        <v>9</v>
      </c>
      <c r="F74" s="37" t="s">
        <v>69</v>
      </c>
      <c r="G74" s="37" t="s">
        <v>102</v>
      </c>
      <c r="J74" s="37">
        <v>8.3928999999999991</v>
      </c>
      <c r="M74" s="37">
        <v>185.37119999999999</v>
      </c>
    </row>
    <row r="75" spans="2:13" x14ac:dyDescent="0.15">
      <c r="B75" s="37" t="s">
        <v>112</v>
      </c>
      <c r="C75" s="37" t="s">
        <v>725</v>
      </c>
      <c r="D75" s="37" t="s">
        <v>897</v>
      </c>
      <c r="E75" s="37" t="s">
        <v>9</v>
      </c>
      <c r="F75" s="37" t="s">
        <v>69</v>
      </c>
      <c r="G75" s="37" t="s">
        <v>37</v>
      </c>
      <c r="H75" s="37">
        <v>11.2281</v>
      </c>
      <c r="I75" s="37">
        <v>7.5716999999999999</v>
      </c>
      <c r="J75" s="37">
        <v>1.9255</v>
      </c>
      <c r="K75" s="37">
        <v>325.11810000000003</v>
      </c>
      <c r="L75" s="37">
        <v>236.1233</v>
      </c>
      <c r="M75" s="37">
        <v>61.869799999999998</v>
      </c>
    </row>
    <row r="76" spans="2:13" x14ac:dyDescent="0.15">
      <c r="B76" s="37" t="s">
        <v>113</v>
      </c>
      <c r="C76" s="37" t="s">
        <v>725</v>
      </c>
      <c r="D76" s="37" t="s">
        <v>897</v>
      </c>
      <c r="E76" s="37" t="s">
        <v>9</v>
      </c>
      <c r="F76" s="37" t="s">
        <v>69</v>
      </c>
      <c r="G76" s="37" t="s">
        <v>42</v>
      </c>
      <c r="H76" s="37">
        <v>56.268599999999999</v>
      </c>
      <c r="I76" s="37">
        <v>22.377800000000001</v>
      </c>
      <c r="J76" s="37">
        <v>12.435499999999999</v>
      </c>
      <c r="K76" s="37">
        <v>1799.2518</v>
      </c>
      <c r="L76" s="37">
        <v>721.99059999999997</v>
      </c>
      <c r="M76" s="37">
        <v>385.45190000000002</v>
      </c>
    </row>
    <row r="77" spans="2:13" x14ac:dyDescent="0.15">
      <c r="B77" s="37" t="s">
        <v>114</v>
      </c>
      <c r="C77" s="37" t="s">
        <v>725</v>
      </c>
      <c r="D77" s="37" t="s">
        <v>897</v>
      </c>
      <c r="E77" s="37" t="s">
        <v>9</v>
      </c>
      <c r="F77" s="37" t="s">
        <v>10</v>
      </c>
      <c r="G77" s="37" t="s">
        <v>42</v>
      </c>
      <c r="H77" s="37">
        <v>0.64159999999999995</v>
      </c>
      <c r="I77" s="37">
        <v>0.34470000000000001</v>
      </c>
      <c r="K77" s="37">
        <v>14.463900000000001</v>
      </c>
      <c r="L77" s="37">
        <v>7.3648999999999996</v>
      </c>
    </row>
    <row r="78" spans="2:13" x14ac:dyDescent="0.15">
      <c r="B78" s="37" t="s">
        <v>115</v>
      </c>
      <c r="C78" s="37" t="s">
        <v>725</v>
      </c>
      <c r="D78" s="37" t="s">
        <v>897</v>
      </c>
      <c r="E78" s="37" t="s">
        <v>9</v>
      </c>
      <c r="F78" s="37" t="s">
        <v>64</v>
      </c>
      <c r="G78" s="37" t="s">
        <v>42</v>
      </c>
      <c r="H78" s="37">
        <v>64.480099999999993</v>
      </c>
      <c r="I78" s="37">
        <v>81.182500000000005</v>
      </c>
      <c r="J78" s="37">
        <v>15.496600000000001</v>
      </c>
      <c r="K78" s="37">
        <v>2159.5493999999999</v>
      </c>
      <c r="L78" s="37">
        <v>2486.1275000000001</v>
      </c>
      <c r="M78" s="37">
        <v>493.73469999999998</v>
      </c>
    </row>
    <row r="79" spans="2:13" x14ac:dyDescent="0.15">
      <c r="B79" s="37" t="s">
        <v>116</v>
      </c>
      <c r="C79" s="37" t="s">
        <v>726</v>
      </c>
      <c r="D79" s="37" t="s">
        <v>898</v>
      </c>
      <c r="E79" s="37" t="s">
        <v>9</v>
      </c>
      <c r="F79" s="37" t="s">
        <v>20</v>
      </c>
      <c r="G79" s="37" t="s">
        <v>21</v>
      </c>
      <c r="J79" s="37">
        <v>0.24490000000000001</v>
      </c>
      <c r="M79" s="37">
        <v>9.7979000000000003</v>
      </c>
    </row>
    <row r="80" spans="2:13" x14ac:dyDescent="0.15">
      <c r="B80" s="37" t="s">
        <v>117</v>
      </c>
      <c r="C80" s="37" t="s">
        <v>726</v>
      </c>
      <c r="D80" s="37" t="s">
        <v>898</v>
      </c>
      <c r="E80" s="37" t="s">
        <v>9</v>
      </c>
      <c r="F80" s="37" t="s">
        <v>20</v>
      </c>
      <c r="G80" s="37" t="s">
        <v>21</v>
      </c>
      <c r="H80" s="37">
        <v>0.22359999999999999</v>
      </c>
      <c r="I80" s="37">
        <v>1.0136000000000001</v>
      </c>
      <c r="J80" s="37">
        <v>0.81230000000000002</v>
      </c>
      <c r="K80" s="37">
        <v>12.2155</v>
      </c>
      <c r="L80" s="37">
        <v>49.151600000000002</v>
      </c>
      <c r="M80" s="37">
        <v>34.919499999999999</v>
      </c>
    </row>
    <row r="81" spans="2:13" x14ac:dyDescent="0.15">
      <c r="B81" s="37" t="s">
        <v>120</v>
      </c>
      <c r="C81" s="37" t="s">
        <v>727</v>
      </c>
      <c r="D81" s="37" t="s">
        <v>899</v>
      </c>
      <c r="E81" s="37" t="s">
        <v>9</v>
      </c>
      <c r="F81" s="37" t="s">
        <v>10</v>
      </c>
      <c r="G81" s="37" t="s">
        <v>11</v>
      </c>
      <c r="H81" s="37">
        <v>15.0191</v>
      </c>
      <c r="I81" s="37">
        <v>17.616800000000001</v>
      </c>
      <c r="J81" s="37">
        <v>13.700200000000001</v>
      </c>
      <c r="K81" s="37">
        <v>121.4559</v>
      </c>
      <c r="L81" s="37">
        <v>162.24</v>
      </c>
      <c r="M81" s="37">
        <v>126.0534</v>
      </c>
    </row>
    <row r="82" spans="2:13" x14ac:dyDescent="0.15">
      <c r="B82" s="37" t="s">
        <v>121</v>
      </c>
      <c r="C82" s="37" t="s">
        <v>727</v>
      </c>
      <c r="D82" s="37" t="s">
        <v>899</v>
      </c>
      <c r="E82" s="37" t="s">
        <v>9</v>
      </c>
      <c r="F82" s="37" t="s">
        <v>10</v>
      </c>
      <c r="G82" s="37" t="s">
        <v>99</v>
      </c>
      <c r="H82" s="37">
        <v>19.776399999999999</v>
      </c>
      <c r="I82" s="37">
        <v>13.798299999999999</v>
      </c>
      <c r="J82" s="37">
        <v>7.5656999999999996</v>
      </c>
      <c r="K82" s="37">
        <v>281.97280000000001</v>
      </c>
      <c r="L82" s="37">
        <v>222.7071</v>
      </c>
      <c r="M82" s="37">
        <v>118.9547</v>
      </c>
    </row>
    <row r="83" spans="2:13" x14ac:dyDescent="0.15">
      <c r="B83" s="37" t="s">
        <v>122</v>
      </c>
      <c r="C83" s="37" t="s">
        <v>727</v>
      </c>
      <c r="D83" s="37" t="s">
        <v>899</v>
      </c>
      <c r="E83" s="37" t="s">
        <v>9</v>
      </c>
      <c r="F83" s="37" t="s">
        <v>10</v>
      </c>
      <c r="G83" s="37" t="s">
        <v>123</v>
      </c>
      <c r="H83" s="37">
        <v>41.314100000000003</v>
      </c>
      <c r="I83" s="37">
        <v>32.422600000000003</v>
      </c>
      <c r="J83" s="37">
        <v>18.6829</v>
      </c>
      <c r="K83" s="37">
        <v>549.64080000000001</v>
      </c>
      <c r="L83" s="37">
        <v>416.84789999999998</v>
      </c>
      <c r="M83" s="37">
        <v>241.38910000000001</v>
      </c>
    </row>
    <row r="84" spans="2:13" x14ac:dyDescent="0.15">
      <c r="B84" s="37" t="s">
        <v>124</v>
      </c>
      <c r="C84" s="37" t="s">
        <v>727</v>
      </c>
      <c r="D84" s="37" t="s">
        <v>899</v>
      </c>
      <c r="E84" s="37" t="s">
        <v>9</v>
      </c>
      <c r="F84" s="37" t="s">
        <v>30</v>
      </c>
      <c r="G84" s="37" t="s">
        <v>123</v>
      </c>
      <c r="H84" s="37">
        <v>10.5054</v>
      </c>
      <c r="I84" s="37">
        <v>0.496</v>
      </c>
      <c r="K84" s="37">
        <v>168.06010000000001</v>
      </c>
      <c r="L84" s="37">
        <v>9.3780000000000001</v>
      </c>
    </row>
    <row r="85" spans="2:13" x14ac:dyDescent="0.15">
      <c r="B85" s="37" t="s">
        <v>125</v>
      </c>
      <c r="C85" s="37" t="s">
        <v>727</v>
      </c>
      <c r="D85" s="37" t="s">
        <v>899</v>
      </c>
      <c r="E85" s="37" t="s">
        <v>9</v>
      </c>
      <c r="F85" s="37" t="s">
        <v>10</v>
      </c>
      <c r="G85" s="37" t="s">
        <v>123</v>
      </c>
      <c r="H85" s="37">
        <v>26.694099999999999</v>
      </c>
      <c r="I85" s="37">
        <v>16.9801</v>
      </c>
      <c r="J85" s="37">
        <v>8.3484999999999996</v>
      </c>
      <c r="K85" s="37">
        <v>362.30340000000001</v>
      </c>
      <c r="L85" s="37">
        <v>234.6001</v>
      </c>
      <c r="M85" s="37">
        <v>111.9991</v>
      </c>
    </row>
    <row r="86" spans="2:13" x14ac:dyDescent="0.15">
      <c r="B86" s="37" t="s">
        <v>127</v>
      </c>
      <c r="C86" s="37" t="s">
        <v>728</v>
      </c>
      <c r="D86" s="37" t="s">
        <v>900</v>
      </c>
      <c r="E86" s="37" t="s">
        <v>9</v>
      </c>
      <c r="F86" s="37" t="s">
        <v>20</v>
      </c>
      <c r="G86" s="37" t="s">
        <v>99</v>
      </c>
      <c r="H86" s="37">
        <v>0.52039999999999997</v>
      </c>
      <c r="I86" s="37">
        <v>1.6072</v>
      </c>
      <c r="J86" s="37">
        <v>0.16420000000000001</v>
      </c>
      <c r="K86" s="37">
        <v>10.5198</v>
      </c>
      <c r="L86" s="37">
        <v>34.4998</v>
      </c>
      <c r="M86" s="37">
        <v>3.1461000000000001</v>
      </c>
    </row>
    <row r="87" spans="2:13" x14ac:dyDescent="0.15">
      <c r="B87" s="37" t="s">
        <v>129</v>
      </c>
      <c r="C87" s="37" t="s">
        <v>730</v>
      </c>
      <c r="D87" s="37" t="s">
        <v>901</v>
      </c>
      <c r="E87" s="37" t="s">
        <v>9</v>
      </c>
      <c r="F87" s="37" t="s">
        <v>20</v>
      </c>
      <c r="G87" s="37" t="s">
        <v>42</v>
      </c>
      <c r="I87" s="37">
        <v>3.7900000000000003E-2</v>
      </c>
      <c r="J87" s="37">
        <v>6.93E-2</v>
      </c>
      <c r="L87" s="37">
        <v>2.3294000000000001</v>
      </c>
      <c r="M87" s="37">
        <v>4.2670000000000003</v>
      </c>
    </row>
    <row r="88" spans="2:13" x14ac:dyDescent="0.15">
      <c r="B88" s="37" t="s">
        <v>849</v>
      </c>
      <c r="C88" s="37" t="s">
        <v>731</v>
      </c>
      <c r="D88" s="37" t="s">
        <v>902</v>
      </c>
      <c r="E88" s="37" t="s">
        <v>9</v>
      </c>
      <c r="F88" s="37" t="s">
        <v>20</v>
      </c>
      <c r="G88" s="37" t="s">
        <v>88</v>
      </c>
      <c r="I88" s="37">
        <v>8.6E-3</v>
      </c>
      <c r="J88" s="37">
        <v>13.3878</v>
      </c>
      <c r="L88" s="37">
        <v>0.19639999999999999</v>
      </c>
      <c r="M88" s="37">
        <v>341.02409999999998</v>
      </c>
    </row>
    <row r="89" spans="2:13" x14ac:dyDescent="0.15">
      <c r="B89" s="37" t="s">
        <v>850</v>
      </c>
      <c r="C89" s="37" t="s">
        <v>731</v>
      </c>
      <c r="D89" s="37" t="s">
        <v>902</v>
      </c>
      <c r="E89" s="37" t="s">
        <v>9</v>
      </c>
      <c r="F89" s="37" t="s">
        <v>20</v>
      </c>
      <c r="G89" s="37" t="s">
        <v>88</v>
      </c>
      <c r="I89" s="37">
        <v>4.8898999999999999</v>
      </c>
      <c r="J89" s="37">
        <v>10.664400000000001</v>
      </c>
      <c r="L89" s="37">
        <v>145.9169</v>
      </c>
      <c r="M89" s="37">
        <v>284.60649999999998</v>
      </c>
    </row>
    <row r="90" spans="2:13" x14ac:dyDescent="0.15">
      <c r="B90" s="37" t="s">
        <v>851</v>
      </c>
      <c r="C90" s="37" t="s">
        <v>731</v>
      </c>
      <c r="D90" s="37" t="s">
        <v>902</v>
      </c>
      <c r="E90" s="37" t="s">
        <v>9</v>
      </c>
      <c r="F90" s="37" t="s">
        <v>20</v>
      </c>
      <c r="G90" s="37" t="s">
        <v>88</v>
      </c>
      <c r="I90" s="37">
        <v>5.8544999999999998</v>
      </c>
      <c r="J90" s="37">
        <v>9.0564</v>
      </c>
      <c r="L90" s="37">
        <v>166.38579999999999</v>
      </c>
      <c r="M90" s="37">
        <v>238.54349999999999</v>
      </c>
    </row>
    <row r="91" spans="2:13" x14ac:dyDescent="0.15">
      <c r="B91" s="37" t="s">
        <v>852</v>
      </c>
      <c r="C91" s="37" t="s">
        <v>731</v>
      </c>
      <c r="D91" s="37" t="s">
        <v>902</v>
      </c>
      <c r="E91" s="37" t="s">
        <v>9</v>
      </c>
      <c r="F91" s="37" t="s">
        <v>20</v>
      </c>
      <c r="G91" s="37" t="s">
        <v>119</v>
      </c>
      <c r="J91" s="37">
        <v>0.9879</v>
      </c>
      <c r="M91" s="37">
        <v>34.929000000000002</v>
      </c>
    </row>
    <row r="92" spans="2:13" x14ac:dyDescent="0.15">
      <c r="B92" s="37" t="s">
        <v>853</v>
      </c>
      <c r="C92" s="37" t="s">
        <v>731</v>
      </c>
      <c r="D92" s="37" t="s">
        <v>902</v>
      </c>
      <c r="E92" s="37" t="s">
        <v>9</v>
      </c>
      <c r="F92" s="37" t="s">
        <v>20</v>
      </c>
      <c r="G92" s="37" t="s">
        <v>17</v>
      </c>
      <c r="H92" s="37">
        <v>15.267200000000001</v>
      </c>
      <c r="I92" s="37">
        <v>16.318300000000001</v>
      </c>
      <c r="J92" s="37">
        <v>16.784099999999999</v>
      </c>
      <c r="K92" s="37">
        <v>431.15870000000001</v>
      </c>
      <c r="L92" s="37">
        <v>473.67329999999998</v>
      </c>
      <c r="M92" s="37">
        <v>505.80540000000002</v>
      </c>
    </row>
    <row r="93" spans="2:13" x14ac:dyDescent="0.15">
      <c r="B93" s="37" t="s">
        <v>854</v>
      </c>
      <c r="C93" s="37" t="s">
        <v>731</v>
      </c>
      <c r="D93" s="37" t="s">
        <v>902</v>
      </c>
      <c r="E93" s="37" t="s">
        <v>9</v>
      </c>
      <c r="F93" s="37" t="s">
        <v>20</v>
      </c>
      <c r="G93" s="37" t="s">
        <v>17</v>
      </c>
      <c r="H93" s="37">
        <v>9.5295000000000005</v>
      </c>
      <c r="I93" s="37">
        <v>13.395300000000001</v>
      </c>
      <c r="J93" s="37">
        <v>18.126999999999999</v>
      </c>
      <c r="K93" s="37">
        <v>274.45499999999998</v>
      </c>
      <c r="L93" s="37">
        <v>396.72109999999998</v>
      </c>
      <c r="M93" s="37">
        <v>559.59109999999998</v>
      </c>
    </row>
    <row r="94" spans="2:13" x14ac:dyDescent="0.15">
      <c r="B94" s="37" t="s">
        <v>855</v>
      </c>
      <c r="C94" s="37" t="s">
        <v>731</v>
      </c>
      <c r="D94" s="37" t="s">
        <v>902</v>
      </c>
      <c r="E94" s="37" t="s">
        <v>9</v>
      </c>
      <c r="F94" s="37" t="s">
        <v>20</v>
      </c>
      <c r="G94" s="37" t="s">
        <v>17</v>
      </c>
      <c r="H94" s="37">
        <v>11.2293</v>
      </c>
      <c r="I94" s="37">
        <v>14.7631</v>
      </c>
      <c r="J94" s="37">
        <v>16.131900000000002</v>
      </c>
      <c r="K94" s="37">
        <v>318.93810000000002</v>
      </c>
      <c r="L94" s="37">
        <v>440.8152</v>
      </c>
      <c r="M94" s="37">
        <v>474.58569999999997</v>
      </c>
    </row>
    <row r="95" spans="2:13" x14ac:dyDescent="0.15">
      <c r="B95" s="37" t="s">
        <v>819</v>
      </c>
      <c r="C95" s="37" t="s">
        <v>732</v>
      </c>
      <c r="D95" s="37" t="s">
        <v>903</v>
      </c>
      <c r="E95" s="37" t="s">
        <v>9</v>
      </c>
      <c r="F95" s="37" t="s">
        <v>10</v>
      </c>
      <c r="G95" s="37" t="s">
        <v>99</v>
      </c>
      <c r="H95" s="37">
        <v>1.03E-2</v>
      </c>
      <c r="K95" s="37">
        <v>0.3876</v>
      </c>
    </row>
    <row r="96" spans="2:13" x14ac:dyDescent="0.15">
      <c r="B96" s="37" t="s">
        <v>130</v>
      </c>
      <c r="C96" s="37" t="s">
        <v>733</v>
      </c>
      <c r="D96" s="37" t="s">
        <v>904</v>
      </c>
      <c r="E96" s="37" t="s">
        <v>9</v>
      </c>
      <c r="F96" s="37" t="s">
        <v>10</v>
      </c>
      <c r="G96" s="37" t="s">
        <v>24</v>
      </c>
      <c r="I96" s="37">
        <v>1.8077000000000001</v>
      </c>
      <c r="J96" s="37">
        <v>54.250700000000002</v>
      </c>
      <c r="L96" s="37">
        <v>127.6024</v>
      </c>
      <c r="M96" s="37">
        <v>2956.24</v>
      </c>
    </row>
    <row r="97" spans="2:13" x14ac:dyDescent="0.15">
      <c r="B97" s="37" t="s">
        <v>132</v>
      </c>
      <c r="C97" s="37" t="s">
        <v>734</v>
      </c>
      <c r="D97" s="37" t="s">
        <v>131</v>
      </c>
      <c r="E97" s="37" t="s">
        <v>9</v>
      </c>
      <c r="F97" s="37" t="s">
        <v>10</v>
      </c>
      <c r="G97" s="37" t="s">
        <v>11</v>
      </c>
      <c r="I97" s="37">
        <v>0.1202</v>
      </c>
      <c r="L97" s="37">
        <v>2.4085999999999999</v>
      </c>
    </row>
    <row r="98" spans="2:13" x14ac:dyDescent="0.15">
      <c r="B98" s="37" t="s">
        <v>133</v>
      </c>
      <c r="C98" s="37" t="s">
        <v>735</v>
      </c>
      <c r="D98" s="37" t="s">
        <v>905</v>
      </c>
      <c r="E98" s="37" t="s">
        <v>9</v>
      </c>
      <c r="F98" s="37" t="s">
        <v>20</v>
      </c>
      <c r="G98" s="37" t="s">
        <v>24</v>
      </c>
      <c r="H98" s="37">
        <v>28.356999999999999</v>
      </c>
      <c r="I98" s="37">
        <v>20.580200000000001</v>
      </c>
      <c r="J98" s="37">
        <v>0.78890000000000005</v>
      </c>
      <c r="K98" s="37">
        <v>1646.7402</v>
      </c>
      <c r="L98" s="37">
        <v>1088.8000999999999</v>
      </c>
      <c r="M98" s="37">
        <v>38.968699999999998</v>
      </c>
    </row>
    <row r="99" spans="2:13" x14ac:dyDescent="0.15">
      <c r="B99" s="37" t="s">
        <v>134</v>
      </c>
      <c r="C99" s="37" t="s">
        <v>735</v>
      </c>
      <c r="D99" s="37" t="s">
        <v>905</v>
      </c>
      <c r="E99" s="37" t="s">
        <v>9</v>
      </c>
      <c r="F99" s="37" t="s">
        <v>30</v>
      </c>
      <c r="G99" s="37" t="s">
        <v>24</v>
      </c>
      <c r="H99" s="37">
        <v>12.003299999999999</v>
      </c>
      <c r="I99" s="37">
        <v>12.0252</v>
      </c>
      <c r="J99" s="37">
        <v>1.8045</v>
      </c>
      <c r="K99" s="37">
        <v>643.41989999999998</v>
      </c>
      <c r="L99" s="37">
        <v>689.18370000000004</v>
      </c>
      <c r="M99" s="37">
        <v>98.837400000000002</v>
      </c>
    </row>
    <row r="100" spans="2:13" x14ac:dyDescent="0.15">
      <c r="B100" s="37" t="s">
        <v>135</v>
      </c>
      <c r="C100" s="37" t="s">
        <v>735</v>
      </c>
      <c r="D100" s="37" t="s">
        <v>905</v>
      </c>
      <c r="E100" s="37" t="s">
        <v>9</v>
      </c>
      <c r="F100" s="37" t="s">
        <v>30</v>
      </c>
      <c r="G100" s="37" t="s">
        <v>24</v>
      </c>
      <c r="H100" s="37">
        <v>0.11600000000000001</v>
      </c>
      <c r="K100" s="37">
        <v>6.96</v>
      </c>
    </row>
    <row r="101" spans="2:13" x14ac:dyDescent="0.15">
      <c r="B101" s="37" t="s">
        <v>136</v>
      </c>
      <c r="C101" s="37" t="s">
        <v>735</v>
      </c>
      <c r="D101" s="37" t="s">
        <v>905</v>
      </c>
      <c r="E101" s="37" t="s">
        <v>9</v>
      </c>
      <c r="F101" s="37" t="s">
        <v>20</v>
      </c>
      <c r="G101" s="37" t="s">
        <v>99</v>
      </c>
      <c r="H101" s="37">
        <v>4.6429999999999998</v>
      </c>
      <c r="I101" s="37">
        <v>2.3708</v>
      </c>
      <c r="J101" s="37">
        <v>3.8805999999999998</v>
      </c>
      <c r="K101" s="37">
        <v>208.76240000000001</v>
      </c>
      <c r="L101" s="37">
        <v>99.124899999999997</v>
      </c>
      <c r="M101" s="37">
        <v>163.75460000000001</v>
      </c>
    </row>
    <row r="102" spans="2:13" x14ac:dyDescent="0.15">
      <c r="B102" s="37" t="s">
        <v>137</v>
      </c>
      <c r="C102" s="37" t="s">
        <v>735</v>
      </c>
      <c r="D102" s="37" t="s">
        <v>905</v>
      </c>
      <c r="E102" s="37" t="s">
        <v>9</v>
      </c>
      <c r="F102" s="37" t="s">
        <v>30</v>
      </c>
      <c r="G102" s="37" t="s">
        <v>42</v>
      </c>
      <c r="H102" s="37">
        <v>8.5853000000000002</v>
      </c>
      <c r="I102" s="37">
        <v>4.2140000000000004</v>
      </c>
      <c r="J102" s="37">
        <v>0.26250000000000001</v>
      </c>
      <c r="K102" s="37">
        <v>402.53930000000003</v>
      </c>
      <c r="L102" s="37">
        <v>207.43709999999999</v>
      </c>
      <c r="M102" s="37">
        <v>13.0296</v>
      </c>
    </row>
    <row r="103" spans="2:13" x14ac:dyDescent="0.15">
      <c r="B103" s="37" t="s">
        <v>138</v>
      </c>
      <c r="C103" s="37" t="s">
        <v>735</v>
      </c>
      <c r="D103" s="37" t="s">
        <v>905</v>
      </c>
      <c r="E103" s="37" t="s">
        <v>9</v>
      </c>
      <c r="F103" s="37" t="s">
        <v>20</v>
      </c>
      <c r="G103" s="37" t="s">
        <v>42</v>
      </c>
      <c r="H103" s="37">
        <v>0.83140000000000003</v>
      </c>
      <c r="I103" s="37">
        <v>1.5299999999999999E-2</v>
      </c>
      <c r="K103" s="37">
        <v>39.196399999999997</v>
      </c>
      <c r="L103" s="37">
        <v>0.64800000000000002</v>
      </c>
    </row>
    <row r="104" spans="2:13" x14ac:dyDescent="0.15">
      <c r="B104" s="37" t="s">
        <v>139</v>
      </c>
      <c r="C104" s="37" t="s">
        <v>735</v>
      </c>
      <c r="D104" s="37" t="s">
        <v>905</v>
      </c>
      <c r="E104" s="37" t="s">
        <v>9</v>
      </c>
      <c r="F104" s="37" t="s">
        <v>20</v>
      </c>
      <c r="G104" s="37" t="s">
        <v>68</v>
      </c>
      <c r="H104" s="37">
        <v>2.9493999999999998</v>
      </c>
      <c r="I104" s="37">
        <v>0.27079999999999999</v>
      </c>
      <c r="K104" s="37">
        <v>169.64840000000001</v>
      </c>
      <c r="L104" s="37">
        <v>12.904400000000001</v>
      </c>
    </row>
    <row r="105" spans="2:13" x14ac:dyDescent="0.15">
      <c r="B105" s="37" t="s">
        <v>140</v>
      </c>
      <c r="C105" s="37" t="s">
        <v>735</v>
      </c>
      <c r="D105" s="37" t="s">
        <v>906</v>
      </c>
      <c r="E105" s="37" t="s">
        <v>9</v>
      </c>
      <c r="F105" s="37" t="s">
        <v>69</v>
      </c>
      <c r="G105" s="37" t="s">
        <v>21</v>
      </c>
      <c r="H105" s="37">
        <v>4.0140000000000002</v>
      </c>
      <c r="K105" s="37">
        <v>230.286</v>
      </c>
    </row>
    <row r="106" spans="2:13" x14ac:dyDescent="0.15">
      <c r="B106" s="37" t="s">
        <v>141</v>
      </c>
      <c r="C106" s="37" t="s">
        <v>735</v>
      </c>
      <c r="D106" s="37" t="s">
        <v>906</v>
      </c>
      <c r="E106" s="37" t="s">
        <v>9</v>
      </c>
      <c r="F106" s="37" t="s">
        <v>10</v>
      </c>
      <c r="G106" s="37" t="s">
        <v>123</v>
      </c>
      <c r="H106" s="37">
        <v>4.0500000000000001E-2</v>
      </c>
      <c r="K106" s="37">
        <v>2.8330000000000002</v>
      </c>
    </row>
    <row r="107" spans="2:13" x14ac:dyDescent="0.15">
      <c r="B107" s="37" t="s">
        <v>142</v>
      </c>
      <c r="C107" s="37" t="s">
        <v>735</v>
      </c>
      <c r="D107" s="37" t="s">
        <v>907</v>
      </c>
      <c r="E107" s="37" t="s">
        <v>9</v>
      </c>
      <c r="F107" s="37" t="s">
        <v>30</v>
      </c>
      <c r="G107" s="37" t="s">
        <v>24</v>
      </c>
      <c r="H107" s="37">
        <v>0.76770000000000005</v>
      </c>
      <c r="K107" s="37">
        <v>46.441400000000002</v>
      </c>
    </row>
    <row r="108" spans="2:13" x14ac:dyDescent="0.15">
      <c r="B108" s="37" t="s">
        <v>143</v>
      </c>
      <c r="C108" s="37" t="s">
        <v>735</v>
      </c>
      <c r="D108" s="37" t="s">
        <v>907</v>
      </c>
      <c r="E108" s="37" t="s">
        <v>9</v>
      </c>
      <c r="F108" s="37" t="s">
        <v>20</v>
      </c>
      <c r="G108" s="37" t="s">
        <v>68</v>
      </c>
      <c r="H108" s="37">
        <v>0.86809999999999998</v>
      </c>
      <c r="K108" s="37">
        <v>43.337600000000002</v>
      </c>
    </row>
    <row r="109" spans="2:13" x14ac:dyDescent="0.15">
      <c r="B109" s="37" t="s">
        <v>144</v>
      </c>
      <c r="C109" s="37" t="s">
        <v>735</v>
      </c>
      <c r="D109" s="37" t="s">
        <v>908</v>
      </c>
      <c r="E109" s="37" t="s">
        <v>9</v>
      </c>
      <c r="F109" s="37" t="s">
        <v>20</v>
      </c>
      <c r="G109" s="37" t="s">
        <v>26</v>
      </c>
      <c r="H109" s="37">
        <v>9.5548999999999999</v>
      </c>
      <c r="I109" s="37">
        <v>16.797000000000001</v>
      </c>
      <c r="J109" s="37">
        <v>14.8012</v>
      </c>
      <c r="K109" s="37">
        <v>338.9522</v>
      </c>
      <c r="L109" s="37">
        <v>643.8528</v>
      </c>
      <c r="M109" s="37">
        <v>454.05590000000001</v>
      </c>
    </row>
    <row r="110" spans="2:13" x14ac:dyDescent="0.15">
      <c r="B110" s="37" t="s">
        <v>145</v>
      </c>
      <c r="C110" s="37" t="s">
        <v>735</v>
      </c>
      <c r="D110" s="37" t="s">
        <v>909</v>
      </c>
      <c r="E110" s="37" t="s">
        <v>9</v>
      </c>
      <c r="F110" s="37" t="s">
        <v>20</v>
      </c>
      <c r="G110" s="37" t="s">
        <v>24</v>
      </c>
      <c r="H110" s="37">
        <v>21.0763</v>
      </c>
      <c r="I110" s="37">
        <v>7.9172000000000002</v>
      </c>
      <c r="J110" s="37">
        <v>0.35720000000000002</v>
      </c>
      <c r="K110" s="37">
        <v>1178.5386000000001</v>
      </c>
      <c r="L110" s="37">
        <v>421.82799999999997</v>
      </c>
      <c r="M110" s="37">
        <v>19.481100000000001</v>
      </c>
    </row>
    <row r="111" spans="2:13" x14ac:dyDescent="0.15">
      <c r="B111" s="37" t="s">
        <v>146</v>
      </c>
      <c r="C111" s="37" t="s">
        <v>735</v>
      </c>
      <c r="D111" s="37" t="s">
        <v>909</v>
      </c>
      <c r="E111" s="37" t="s">
        <v>9</v>
      </c>
      <c r="F111" s="37" t="s">
        <v>30</v>
      </c>
      <c r="G111" s="37" t="s">
        <v>24</v>
      </c>
      <c r="H111" s="37">
        <v>59.8855</v>
      </c>
      <c r="I111" s="37">
        <v>18.673500000000001</v>
      </c>
      <c r="J111" s="37">
        <v>4.4382000000000001</v>
      </c>
      <c r="K111" s="37">
        <v>3588.4739</v>
      </c>
      <c r="L111" s="37">
        <v>1054.2443000000001</v>
      </c>
      <c r="M111" s="37">
        <v>241.28020000000001</v>
      </c>
    </row>
    <row r="112" spans="2:13" x14ac:dyDescent="0.15">
      <c r="B112" s="37" t="s">
        <v>147</v>
      </c>
      <c r="C112" s="37" t="s">
        <v>735</v>
      </c>
      <c r="D112" s="37" t="s">
        <v>910</v>
      </c>
      <c r="E112" s="37" t="s">
        <v>9</v>
      </c>
      <c r="F112" s="37" t="s">
        <v>20</v>
      </c>
      <c r="G112" s="37" t="s">
        <v>24</v>
      </c>
      <c r="H112" s="37">
        <v>37.596899999999998</v>
      </c>
      <c r="I112" s="37">
        <v>28.031099999999999</v>
      </c>
      <c r="J112" s="37">
        <v>1.2394000000000001</v>
      </c>
      <c r="K112" s="37">
        <v>2231.0284000000001</v>
      </c>
      <c r="L112" s="37">
        <v>1606.1090999999999</v>
      </c>
      <c r="M112" s="37">
        <v>64.665899999999993</v>
      </c>
    </row>
    <row r="113" spans="2:13" x14ac:dyDescent="0.15">
      <c r="B113" s="37" t="s">
        <v>148</v>
      </c>
      <c r="C113" s="37" t="s">
        <v>735</v>
      </c>
      <c r="D113" s="37" t="s">
        <v>911</v>
      </c>
      <c r="E113" s="37" t="s">
        <v>9</v>
      </c>
      <c r="F113" s="37" t="s">
        <v>20</v>
      </c>
      <c r="G113" s="37" t="s">
        <v>42</v>
      </c>
      <c r="H113" s="37">
        <v>4.1798000000000002</v>
      </c>
      <c r="K113" s="37">
        <v>212.80930000000001</v>
      </c>
    </row>
    <row r="114" spans="2:13" x14ac:dyDescent="0.15">
      <c r="B114" s="37" t="s">
        <v>149</v>
      </c>
      <c r="C114" s="37" t="s">
        <v>735</v>
      </c>
      <c r="D114" s="37" t="s">
        <v>911</v>
      </c>
      <c r="E114" s="37" t="s">
        <v>9</v>
      </c>
      <c r="F114" s="37" t="s">
        <v>20</v>
      </c>
      <c r="G114" s="37" t="s">
        <v>42</v>
      </c>
      <c r="H114" s="37">
        <v>16.9573</v>
      </c>
      <c r="I114" s="37">
        <v>8.0383999999999993</v>
      </c>
      <c r="J114" s="37">
        <v>4.7045000000000003</v>
      </c>
      <c r="K114" s="37">
        <v>973.13670000000002</v>
      </c>
      <c r="L114" s="37">
        <v>460.75880000000001</v>
      </c>
      <c r="M114" s="37">
        <v>246.6643</v>
      </c>
    </row>
    <row r="115" spans="2:13" x14ac:dyDescent="0.15">
      <c r="B115" s="37" t="s">
        <v>152</v>
      </c>
      <c r="C115" s="37" t="s">
        <v>737</v>
      </c>
      <c r="D115" s="37" t="s">
        <v>912</v>
      </c>
      <c r="E115" s="37" t="s">
        <v>9</v>
      </c>
      <c r="F115" s="37" t="s">
        <v>30</v>
      </c>
      <c r="G115" s="37" t="s">
        <v>24</v>
      </c>
      <c r="H115" s="37">
        <v>8.9794</v>
      </c>
      <c r="K115" s="37">
        <v>618.46879999999999</v>
      </c>
    </row>
    <row r="116" spans="2:13" x14ac:dyDescent="0.15">
      <c r="B116" s="37" t="s">
        <v>154</v>
      </c>
      <c r="C116" s="37" t="s">
        <v>738</v>
      </c>
      <c r="D116" s="37" t="s">
        <v>913</v>
      </c>
      <c r="E116" s="37" t="s">
        <v>9</v>
      </c>
      <c r="F116" s="37" t="s">
        <v>20</v>
      </c>
      <c r="G116" s="37" t="s">
        <v>24</v>
      </c>
      <c r="I116" s="37">
        <v>9.4999999999999998E-3</v>
      </c>
      <c r="L116" s="37">
        <v>0.51649999999999996</v>
      </c>
    </row>
    <row r="117" spans="2:13" x14ac:dyDescent="0.15">
      <c r="B117" s="37" t="s">
        <v>155</v>
      </c>
      <c r="C117" s="37" t="s">
        <v>738</v>
      </c>
      <c r="D117" s="37" t="s">
        <v>914</v>
      </c>
      <c r="E117" s="37" t="s">
        <v>9</v>
      </c>
      <c r="F117" s="37" t="s">
        <v>64</v>
      </c>
      <c r="G117" s="37" t="s">
        <v>156</v>
      </c>
      <c r="H117" s="37">
        <v>0.34189999999999998</v>
      </c>
      <c r="K117" s="37">
        <v>17.095199999999998</v>
      </c>
    </row>
    <row r="118" spans="2:13" x14ac:dyDescent="0.15">
      <c r="B118" s="37" t="s">
        <v>157</v>
      </c>
      <c r="C118" s="37" t="s">
        <v>738</v>
      </c>
      <c r="D118" s="37" t="s">
        <v>914</v>
      </c>
      <c r="E118" s="37" t="s">
        <v>9</v>
      </c>
      <c r="F118" s="37" t="s">
        <v>30</v>
      </c>
      <c r="G118" s="37" t="s">
        <v>24</v>
      </c>
      <c r="I118" s="37">
        <v>36.513300000000001</v>
      </c>
      <c r="J118" s="37">
        <v>9.9184000000000001</v>
      </c>
      <c r="L118" s="37">
        <v>2225.7903999999999</v>
      </c>
      <c r="M118" s="37">
        <v>665.84569999999997</v>
      </c>
    </row>
    <row r="119" spans="2:13" x14ac:dyDescent="0.15">
      <c r="B119" s="37" t="s">
        <v>158</v>
      </c>
      <c r="C119" s="37" t="s">
        <v>738</v>
      </c>
      <c r="D119" s="37" t="s">
        <v>914</v>
      </c>
      <c r="E119" s="37" t="s">
        <v>9</v>
      </c>
      <c r="F119" s="37" t="s">
        <v>30</v>
      </c>
      <c r="G119" s="37" t="s">
        <v>24</v>
      </c>
      <c r="I119" s="37">
        <v>28.314</v>
      </c>
      <c r="J119" s="37">
        <v>9.1574000000000009</v>
      </c>
      <c r="L119" s="37">
        <v>1712.6693</v>
      </c>
      <c r="M119" s="37">
        <v>592.38390000000004</v>
      </c>
    </row>
    <row r="120" spans="2:13" x14ac:dyDescent="0.15">
      <c r="B120" s="37" t="s">
        <v>159</v>
      </c>
      <c r="C120" s="37" t="s">
        <v>738</v>
      </c>
      <c r="D120" s="37" t="s">
        <v>914</v>
      </c>
      <c r="E120" s="37" t="s">
        <v>9</v>
      </c>
      <c r="F120" s="37" t="s">
        <v>30</v>
      </c>
      <c r="G120" s="37" t="s">
        <v>24</v>
      </c>
      <c r="I120" s="37">
        <v>24.999500000000001</v>
      </c>
      <c r="J120" s="37">
        <v>5.0659999999999998</v>
      </c>
      <c r="L120" s="37">
        <v>1534.4268</v>
      </c>
      <c r="M120" s="37">
        <v>349.95659999999998</v>
      </c>
    </row>
    <row r="121" spans="2:13" x14ac:dyDescent="0.15">
      <c r="B121" s="37" t="s">
        <v>160</v>
      </c>
      <c r="C121" s="37" t="s">
        <v>738</v>
      </c>
      <c r="D121" s="37" t="s">
        <v>914</v>
      </c>
      <c r="E121" s="37" t="s">
        <v>9</v>
      </c>
      <c r="F121" s="37" t="s">
        <v>20</v>
      </c>
      <c r="G121" s="37" t="s">
        <v>24</v>
      </c>
      <c r="H121" s="37">
        <v>25.1</v>
      </c>
      <c r="I121" s="37">
        <v>61.22</v>
      </c>
      <c r="J121" s="37">
        <v>8.9021000000000008</v>
      </c>
      <c r="K121" s="37">
        <v>1136.2986000000001</v>
      </c>
      <c r="L121" s="37">
        <v>3402.5661</v>
      </c>
      <c r="M121" s="37">
        <v>613.3809</v>
      </c>
    </row>
    <row r="122" spans="2:13" x14ac:dyDescent="0.15">
      <c r="B122" s="37" t="s">
        <v>161</v>
      </c>
      <c r="C122" s="37" t="s">
        <v>738</v>
      </c>
      <c r="D122" s="37" t="s">
        <v>914</v>
      </c>
      <c r="E122" s="37" t="s">
        <v>9</v>
      </c>
      <c r="F122" s="37" t="s">
        <v>30</v>
      </c>
      <c r="G122" s="37" t="s">
        <v>24</v>
      </c>
      <c r="I122" s="37">
        <v>18.822399999999998</v>
      </c>
      <c r="J122" s="37">
        <v>7.1738</v>
      </c>
      <c r="L122" s="37">
        <v>1176.8929000000001</v>
      </c>
      <c r="M122" s="37">
        <v>487.85019999999997</v>
      </c>
    </row>
    <row r="123" spans="2:13" x14ac:dyDescent="0.15">
      <c r="B123" s="37" t="s">
        <v>162</v>
      </c>
      <c r="C123" s="37" t="s">
        <v>738</v>
      </c>
      <c r="D123" s="37" t="s">
        <v>914</v>
      </c>
      <c r="E123" s="37" t="s">
        <v>9</v>
      </c>
      <c r="F123" s="37" t="s">
        <v>20</v>
      </c>
      <c r="G123" s="37" t="s">
        <v>26</v>
      </c>
      <c r="H123" s="37">
        <v>1.24</v>
      </c>
      <c r="I123" s="37">
        <v>2.9891000000000001</v>
      </c>
      <c r="J123" s="37">
        <v>0.81240000000000001</v>
      </c>
      <c r="K123" s="37">
        <v>69.486800000000002</v>
      </c>
      <c r="L123" s="37">
        <v>154.24979999999999</v>
      </c>
      <c r="M123" s="37">
        <v>41.637500000000003</v>
      </c>
    </row>
    <row r="124" spans="2:13" x14ac:dyDescent="0.15">
      <c r="B124" s="37" t="s">
        <v>163</v>
      </c>
      <c r="C124" s="37" t="s">
        <v>738</v>
      </c>
      <c r="D124" s="37" t="s">
        <v>914</v>
      </c>
      <c r="E124" s="37" t="s">
        <v>9</v>
      </c>
      <c r="F124" s="37" t="s">
        <v>20</v>
      </c>
      <c r="G124" s="37" t="s">
        <v>103</v>
      </c>
      <c r="H124" s="37">
        <v>1.1599999999999999</v>
      </c>
      <c r="I124" s="37">
        <v>1.8923000000000001</v>
      </c>
      <c r="K124" s="37">
        <v>44.862200000000001</v>
      </c>
      <c r="L124" s="37">
        <v>87.694800000000001</v>
      </c>
    </row>
    <row r="125" spans="2:13" x14ac:dyDescent="0.15">
      <c r="B125" s="37" t="s">
        <v>820</v>
      </c>
      <c r="C125" s="37" t="s">
        <v>738</v>
      </c>
      <c r="D125" s="37" t="s">
        <v>914</v>
      </c>
      <c r="E125" s="37" t="s">
        <v>9</v>
      </c>
      <c r="F125" s="37" t="s">
        <v>10</v>
      </c>
      <c r="G125" s="37" t="s">
        <v>68</v>
      </c>
      <c r="I125" s="37">
        <v>14.477</v>
      </c>
      <c r="J125" s="37">
        <v>3.1046999999999998</v>
      </c>
      <c r="L125" s="37">
        <v>762.29949999999997</v>
      </c>
      <c r="M125" s="37">
        <v>149.91970000000001</v>
      </c>
    </row>
    <row r="126" spans="2:13" x14ac:dyDescent="0.15">
      <c r="B126" s="37" t="s">
        <v>165</v>
      </c>
      <c r="C126" s="37" t="s">
        <v>738</v>
      </c>
      <c r="D126" s="37" t="s">
        <v>915</v>
      </c>
      <c r="E126" s="37" t="s">
        <v>9</v>
      </c>
      <c r="F126" s="37" t="s">
        <v>30</v>
      </c>
      <c r="G126" s="37" t="s">
        <v>24</v>
      </c>
      <c r="H126" s="37">
        <v>0.25940000000000002</v>
      </c>
      <c r="I126" s="37">
        <v>47.287300000000002</v>
      </c>
      <c r="J126" s="37">
        <v>13.3363</v>
      </c>
      <c r="K126" s="37">
        <v>15.5664</v>
      </c>
      <c r="L126" s="37">
        <v>2338.1842000000001</v>
      </c>
      <c r="M126" s="37">
        <v>671.9117</v>
      </c>
    </row>
    <row r="127" spans="2:13" x14ac:dyDescent="0.15">
      <c r="B127" s="37" t="s">
        <v>166</v>
      </c>
      <c r="C127" s="37" t="s">
        <v>738</v>
      </c>
      <c r="D127" s="37" t="s">
        <v>915</v>
      </c>
      <c r="E127" s="37" t="s">
        <v>9</v>
      </c>
      <c r="F127" s="37" t="s">
        <v>30</v>
      </c>
      <c r="G127" s="37" t="s">
        <v>26</v>
      </c>
      <c r="I127" s="37">
        <v>5.6702000000000004</v>
      </c>
      <c r="J127" s="37">
        <v>10.135199999999999</v>
      </c>
      <c r="L127" s="37">
        <v>206.95869999999999</v>
      </c>
      <c r="M127" s="37">
        <v>365.12360000000001</v>
      </c>
    </row>
    <row r="128" spans="2:13" x14ac:dyDescent="0.15">
      <c r="B128" s="37" t="s">
        <v>167</v>
      </c>
      <c r="C128" s="37" t="s">
        <v>739</v>
      </c>
      <c r="D128" s="37" t="s">
        <v>916</v>
      </c>
      <c r="E128" s="37" t="s">
        <v>9</v>
      </c>
      <c r="F128" s="37" t="s">
        <v>64</v>
      </c>
      <c r="G128" s="37" t="s">
        <v>24</v>
      </c>
      <c r="I128" s="37">
        <v>82.250100000000003</v>
      </c>
      <c r="J128" s="37">
        <v>55.842500000000001</v>
      </c>
      <c r="L128" s="37">
        <v>5284.8972000000003</v>
      </c>
      <c r="M128" s="37">
        <v>3137.2123999999999</v>
      </c>
    </row>
    <row r="129" spans="2:13" x14ac:dyDescent="0.15">
      <c r="B129" s="37" t="s">
        <v>168</v>
      </c>
      <c r="C129" s="37" t="s">
        <v>739</v>
      </c>
      <c r="D129" s="37" t="s">
        <v>916</v>
      </c>
      <c r="E129" s="37" t="s">
        <v>9</v>
      </c>
      <c r="F129" s="37" t="s">
        <v>64</v>
      </c>
      <c r="G129" s="37" t="s">
        <v>24</v>
      </c>
      <c r="I129" s="37">
        <v>88.414900000000003</v>
      </c>
      <c r="J129" s="37">
        <v>45.6905</v>
      </c>
      <c r="L129" s="37">
        <v>5662.4585999999999</v>
      </c>
      <c r="M129" s="37">
        <v>2576.6464000000001</v>
      </c>
    </row>
    <row r="130" spans="2:13" x14ac:dyDescent="0.15">
      <c r="B130" s="37" t="s">
        <v>169</v>
      </c>
      <c r="C130" s="37" t="s">
        <v>740</v>
      </c>
      <c r="D130" s="37" t="s">
        <v>917</v>
      </c>
      <c r="E130" s="37" t="s">
        <v>9</v>
      </c>
      <c r="F130" s="37" t="s">
        <v>20</v>
      </c>
      <c r="G130" s="37" t="s">
        <v>42</v>
      </c>
      <c r="H130" s="37">
        <v>0.24010000000000001</v>
      </c>
      <c r="K130" s="37">
        <v>10.8056</v>
      </c>
    </row>
    <row r="131" spans="2:13" x14ac:dyDescent="0.15">
      <c r="B131" s="37" t="s">
        <v>171</v>
      </c>
      <c r="C131" s="37" t="s">
        <v>741</v>
      </c>
      <c r="D131" s="37" t="s">
        <v>918</v>
      </c>
      <c r="E131" s="37" t="s">
        <v>9</v>
      </c>
      <c r="F131" s="37" t="s">
        <v>30</v>
      </c>
      <c r="G131" s="37" t="s">
        <v>11</v>
      </c>
      <c r="H131" s="37">
        <v>8.8999999999999999E-3</v>
      </c>
      <c r="I131" s="37">
        <v>1.9E-3</v>
      </c>
      <c r="K131" s="37">
        <v>0.1</v>
      </c>
      <c r="L131" s="37">
        <v>0.02</v>
      </c>
    </row>
    <row r="132" spans="2:13" x14ac:dyDescent="0.15">
      <c r="B132" s="37" t="s">
        <v>172</v>
      </c>
      <c r="C132" s="37" t="s">
        <v>741</v>
      </c>
      <c r="D132" s="37" t="s">
        <v>918</v>
      </c>
      <c r="E132" s="37" t="s">
        <v>9</v>
      </c>
      <c r="F132" s="37" t="s">
        <v>30</v>
      </c>
      <c r="G132" s="37" t="s">
        <v>11</v>
      </c>
      <c r="H132" s="37">
        <v>3.6436000000000002</v>
      </c>
      <c r="I132" s="37">
        <v>0.20610000000000001</v>
      </c>
      <c r="J132" s="37">
        <v>0.1404</v>
      </c>
      <c r="K132" s="37">
        <v>40.526699999999998</v>
      </c>
      <c r="L132" s="37">
        <v>2.1286999999999998</v>
      </c>
      <c r="M132" s="37">
        <v>1.4401999999999999</v>
      </c>
    </row>
    <row r="133" spans="2:13" x14ac:dyDescent="0.15">
      <c r="B133" s="37" t="s">
        <v>173</v>
      </c>
      <c r="C133" s="37" t="s">
        <v>741</v>
      </c>
      <c r="D133" s="37" t="s">
        <v>918</v>
      </c>
      <c r="E133" s="37" t="s">
        <v>9</v>
      </c>
      <c r="F133" s="37" t="s">
        <v>30</v>
      </c>
      <c r="G133" s="37" t="s">
        <v>37</v>
      </c>
      <c r="H133" s="37">
        <v>4.9200000000000001E-2</v>
      </c>
      <c r="I133" s="37">
        <v>1.14E-2</v>
      </c>
      <c r="K133" s="37">
        <v>3.4851000000000001</v>
      </c>
      <c r="L133" s="37">
        <v>0.25600000000000001</v>
      </c>
    </row>
    <row r="134" spans="2:13" x14ac:dyDescent="0.15">
      <c r="B134" s="37" t="s">
        <v>174</v>
      </c>
      <c r="C134" s="37" t="s">
        <v>741</v>
      </c>
      <c r="D134" s="37" t="s">
        <v>918</v>
      </c>
      <c r="E134" s="37" t="s">
        <v>9</v>
      </c>
      <c r="F134" s="37" t="s">
        <v>30</v>
      </c>
      <c r="G134" s="37" t="s">
        <v>37</v>
      </c>
      <c r="H134" s="37">
        <v>4.9882</v>
      </c>
      <c r="I134" s="37">
        <v>0.97860000000000003</v>
      </c>
      <c r="K134" s="37">
        <v>116.9594</v>
      </c>
      <c r="L134" s="37">
        <v>26.678799999999999</v>
      </c>
    </row>
    <row r="135" spans="2:13" x14ac:dyDescent="0.15">
      <c r="B135" s="37" t="s">
        <v>175</v>
      </c>
      <c r="C135" s="37" t="s">
        <v>742</v>
      </c>
      <c r="D135" s="37" t="s">
        <v>919</v>
      </c>
      <c r="E135" s="37" t="s">
        <v>9</v>
      </c>
      <c r="F135" s="37" t="s">
        <v>30</v>
      </c>
      <c r="G135" s="37" t="s">
        <v>15</v>
      </c>
      <c r="J135" s="37">
        <v>0.16420000000000001</v>
      </c>
      <c r="M135" s="37">
        <v>5.0327000000000002</v>
      </c>
    </row>
    <row r="136" spans="2:13" x14ac:dyDescent="0.15">
      <c r="B136" s="37" t="s">
        <v>176</v>
      </c>
      <c r="C136" s="37" t="s">
        <v>742</v>
      </c>
      <c r="D136" s="37" t="s">
        <v>919</v>
      </c>
      <c r="E136" s="37" t="s">
        <v>9</v>
      </c>
      <c r="F136" s="37" t="s">
        <v>30</v>
      </c>
      <c r="G136" s="37" t="s">
        <v>34</v>
      </c>
      <c r="H136" s="37">
        <v>2.3513000000000002</v>
      </c>
      <c r="I136" s="37">
        <v>13.7189</v>
      </c>
      <c r="J136" s="37">
        <v>5.1338999999999997</v>
      </c>
      <c r="K136" s="37">
        <v>93.938999999999993</v>
      </c>
      <c r="L136" s="37">
        <v>476.75330000000002</v>
      </c>
      <c r="M136" s="37">
        <v>161.36660000000001</v>
      </c>
    </row>
    <row r="137" spans="2:13" x14ac:dyDescent="0.15">
      <c r="B137" s="37" t="s">
        <v>177</v>
      </c>
      <c r="C137" s="37" t="s">
        <v>742</v>
      </c>
      <c r="D137" s="37" t="s">
        <v>919</v>
      </c>
      <c r="E137" s="37" t="s">
        <v>9</v>
      </c>
      <c r="F137" s="37" t="s">
        <v>30</v>
      </c>
      <c r="G137" s="37" t="s">
        <v>99</v>
      </c>
      <c r="H137" s="37">
        <v>7.0484</v>
      </c>
      <c r="I137" s="37">
        <v>24.545400000000001</v>
      </c>
      <c r="J137" s="37">
        <v>7.2644000000000002</v>
      </c>
      <c r="K137" s="37">
        <v>315.70249999999999</v>
      </c>
      <c r="L137" s="37">
        <v>945.68759999999997</v>
      </c>
      <c r="M137" s="37">
        <v>273.77960000000002</v>
      </c>
    </row>
    <row r="138" spans="2:13" x14ac:dyDescent="0.15">
      <c r="B138" s="37" t="s">
        <v>178</v>
      </c>
      <c r="C138" s="37" t="s">
        <v>742</v>
      </c>
      <c r="D138" s="37" t="s">
        <v>919</v>
      </c>
      <c r="E138" s="37" t="s">
        <v>9</v>
      </c>
      <c r="F138" s="37" t="s">
        <v>30</v>
      </c>
      <c r="G138" s="37" t="s">
        <v>99</v>
      </c>
      <c r="H138" s="37">
        <v>6.2529000000000003</v>
      </c>
      <c r="K138" s="37">
        <v>300.22300000000001</v>
      </c>
    </row>
    <row r="139" spans="2:13" x14ac:dyDescent="0.15">
      <c r="B139" s="37" t="s">
        <v>180</v>
      </c>
      <c r="C139" s="37" t="s">
        <v>743</v>
      </c>
      <c r="D139" s="37" t="s">
        <v>920</v>
      </c>
      <c r="E139" s="37" t="s">
        <v>9</v>
      </c>
      <c r="F139" s="37" t="s">
        <v>20</v>
      </c>
      <c r="G139" s="37" t="s">
        <v>42</v>
      </c>
      <c r="H139" s="37">
        <v>1.6668000000000001</v>
      </c>
      <c r="I139" s="37">
        <v>3.7600000000000001E-2</v>
      </c>
      <c r="K139" s="37">
        <v>75.837299999999999</v>
      </c>
      <c r="L139" s="37">
        <v>1.6555</v>
      </c>
    </row>
    <row r="140" spans="2:13" x14ac:dyDescent="0.15">
      <c r="B140" s="37" t="s">
        <v>181</v>
      </c>
      <c r="C140" s="37" t="s">
        <v>743</v>
      </c>
      <c r="D140" s="37" t="s">
        <v>920</v>
      </c>
      <c r="E140" s="37" t="s">
        <v>9</v>
      </c>
      <c r="F140" s="37" t="s">
        <v>20</v>
      </c>
      <c r="G140" s="37" t="s">
        <v>42</v>
      </c>
      <c r="H140" s="37">
        <v>7.5975000000000001</v>
      </c>
      <c r="I140" s="37">
        <v>0.1353</v>
      </c>
      <c r="J140" s="37">
        <v>3.0000000000000001E-3</v>
      </c>
      <c r="K140" s="37">
        <v>283.12259999999998</v>
      </c>
      <c r="L140" s="37">
        <v>3.3016999999999999</v>
      </c>
      <c r="M140" s="37">
        <v>7.1999999999999995E-2</v>
      </c>
    </row>
    <row r="141" spans="2:13" x14ac:dyDescent="0.15">
      <c r="B141" s="37" t="s">
        <v>183</v>
      </c>
      <c r="C141" s="37" t="s">
        <v>744</v>
      </c>
      <c r="D141" s="37" t="s">
        <v>921</v>
      </c>
      <c r="E141" s="37" t="s">
        <v>9</v>
      </c>
      <c r="F141" s="37" t="s">
        <v>30</v>
      </c>
      <c r="G141" s="37" t="s">
        <v>42</v>
      </c>
      <c r="H141" s="37">
        <v>2.5741999999999998</v>
      </c>
      <c r="I141" s="37">
        <v>0.57930000000000004</v>
      </c>
      <c r="J141" s="37">
        <v>9.0300000000000005E-2</v>
      </c>
      <c r="K141" s="37">
        <v>138.52269999999999</v>
      </c>
      <c r="L141" s="37">
        <v>28.2058</v>
      </c>
      <c r="M141" s="37">
        <v>3.9451999999999998</v>
      </c>
    </row>
    <row r="142" spans="2:13" x14ac:dyDescent="0.15">
      <c r="B142" s="37" t="s">
        <v>184</v>
      </c>
      <c r="C142" s="37" t="s">
        <v>744</v>
      </c>
      <c r="D142" s="37" t="s">
        <v>921</v>
      </c>
      <c r="E142" s="37" t="s">
        <v>9</v>
      </c>
      <c r="F142" s="37" t="s">
        <v>10</v>
      </c>
      <c r="G142" s="37" t="s">
        <v>42</v>
      </c>
      <c r="I142" s="37">
        <v>3.2000000000000002E-3</v>
      </c>
      <c r="L142" s="37">
        <v>0.14879999999999999</v>
      </c>
    </row>
    <row r="143" spans="2:13" x14ac:dyDescent="0.15">
      <c r="B143" s="37" t="s">
        <v>186</v>
      </c>
      <c r="C143" s="37" t="s">
        <v>744</v>
      </c>
      <c r="D143" s="37" t="s">
        <v>922</v>
      </c>
      <c r="E143" s="37" t="s">
        <v>9</v>
      </c>
      <c r="F143" s="37" t="s">
        <v>20</v>
      </c>
      <c r="G143" s="37" t="s">
        <v>24</v>
      </c>
      <c r="H143" s="37">
        <v>29.782299999999999</v>
      </c>
      <c r="I143" s="37">
        <v>8.0821000000000005</v>
      </c>
      <c r="J143" s="37">
        <v>2.2058</v>
      </c>
      <c r="K143" s="37">
        <v>1812.3146999999999</v>
      </c>
      <c r="L143" s="37">
        <v>442.9864</v>
      </c>
      <c r="M143" s="37">
        <v>129.73259999999999</v>
      </c>
    </row>
    <row r="144" spans="2:13" x14ac:dyDescent="0.15">
      <c r="B144" s="37" t="s">
        <v>187</v>
      </c>
      <c r="C144" s="37" t="s">
        <v>744</v>
      </c>
      <c r="D144" s="37" t="s">
        <v>922</v>
      </c>
      <c r="E144" s="37" t="s">
        <v>9</v>
      </c>
      <c r="F144" s="37" t="s">
        <v>10</v>
      </c>
      <c r="G144" s="37" t="s">
        <v>37</v>
      </c>
      <c r="H144" s="37">
        <v>0.4194</v>
      </c>
      <c r="I144" s="37">
        <v>0.27539999999999998</v>
      </c>
      <c r="J144" s="37">
        <v>7.5600000000000001E-2</v>
      </c>
      <c r="K144" s="37">
        <v>22.036999999999999</v>
      </c>
      <c r="L144" s="37">
        <v>13.908200000000001</v>
      </c>
      <c r="M144" s="37">
        <v>3.7229000000000001</v>
      </c>
    </row>
    <row r="145" spans="2:13" x14ac:dyDescent="0.15">
      <c r="B145" s="37" t="s">
        <v>191</v>
      </c>
      <c r="C145" s="37" t="s">
        <v>744</v>
      </c>
      <c r="D145" s="37" t="s">
        <v>923</v>
      </c>
      <c r="E145" s="37" t="s">
        <v>9</v>
      </c>
      <c r="F145" s="37" t="s">
        <v>20</v>
      </c>
      <c r="G145" s="37" t="s">
        <v>24</v>
      </c>
      <c r="H145" s="37">
        <v>393.93759999999997</v>
      </c>
      <c r="I145" s="37">
        <v>316.5532</v>
      </c>
      <c r="J145" s="37">
        <v>120.4361</v>
      </c>
      <c r="K145" s="37">
        <v>20334.628400000001</v>
      </c>
      <c r="L145" s="37">
        <v>15456.115599999999</v>
      </c>
      <c r="M145" s="37">
        <v>5660.8364000000001</v>
      </c>
    </row>
    <row r="146" spans="2:13" x14ac:dyDescent="0.15">
      <c r="B146" s="37" t="s">
        <v>192</v>
      </c>
      <c r="C146" s="37" t="s">
        <v>744</v>
      </c>
      <c r="D146" s="37" t="s">
        <v>923</v>
      </c>
      <c r="E146" s="37" t="s">
        <v>9</v>
      </c>
      <c r="F146" s="37" t="s">
        <v>20</v>
      </c>
      <c r="G146" s="37" t="s">
        <v>42</v>
      </c>
      <c r="H146" s="37">
        <v>11.008699999999999</v>
      </c>
      <c r="K146" s="37">
        <v>653.37990000000002</v>
      </c>
    </row>
    <row r="147" spans="2:13" x14ac:dyDescent="0.15">
      <c r="B147" s="37" t="s">
        <v>193</v>
      </c>
      <c r="C147" s="37" t="s">
        <v>744</v>
      </c>
      <c r="D147" s="37" t="s">
        <v>923</v>
      </c>
      <c r="E147" s="37" t="s">
        <v>9</v>
      </c>
      <c r="F147" s="37" t="s">
        <v>20</v>
      </c>
      <c r="G147" s="37" t="s">
        <v>42</v>
      </c>
      <c r="H147" s="37">
        <v>6.3380999999999998</v>
      </c>
      <c r="I147" s="37">
        <v>2.2010000000000001</v>
      </c>
      <c r="J147" s="37">
        <v>4.9340999999999999</v>
      </c>
      <c r="K147" s="37">
        <v>360.70839999999998</v>
      </c>
      <c r="L147" s="37">
        <v>122.7465</v>
      </c>
      <c r="M147" s="37">
        <v>260.16239999999999</v>
      </c>
    </row>
    <row r="148" spans="2:13" x14ac:dyDescent="0.15">
      <c r="B148" s="37" t="s">
        <v>194</v>
      </c>
      <c r="C148" s="37" t="s">
        <v>744</v>
      </c>
      <c r="D148" s="37" t="s">
        <v>923</v>
      </c>
      <c r="E148" s="37" t="s">
        <v>9</v>
      </c>
      <c r="F148" s="37" t="s">
        <v>20</v>
      </c>
      <c r="G148" s="37" t="s">
        <v>42</v>
      </c>
      <c r="H148" s="37">
        <v>17.2865</v>
      </c>
      <c r="I148" s="37">
        <v>3.1953</v>
      </c>
      <c r="K148" s="37">
        <v>1104.6166000000001</v>
      </c>
      <c r="L148" s="37">
        <v>157.0744</v>
      </c>
    </row>
    <row r="149" spans="2:13" x14ac:dyDescent="0.15">
      <c r="B149" s="37" t="s">
        <v>195</v>
      </c>
      <c r="C149" s="37" t="s">
        <v>744</v>
      </c>
      <c r="D149" s="37" t="s">
        <v>923</v>
      </c>
      <c r="E149" s="37" t="s">
        <v>9</v>
      </c>
      <c r="F149" s="37" t="s">
        <v>10</v>
      </c>
      <c r="G149" s="37" t="s">
        <v>42</v>
      </c>
      <c r="H149" s="37">
        <v>8.3360000000000003</v>
      </c>
      <c r="I149" s="37">
        <v>4.1882999999999999</v>
      </c>
      <c r="J149" s="37">
        <v>0.16869999999999999</v>
      </c>
      <c r="K149" s="37">
        <v>355.34039999999999</v>
      </c>
      <c r="L149" s="37">
        <v>181.6489</v>
      </c>
      <c r="M149" s="37">
        <v>7.0335999999999999</v>
      </c>
    </row>
    <row r="150" spans="2:13" x14ac:dyDescent="0.15">
      <c r="B150" s="37" t="s">
        <v>196</v>
      </c>
      <c r="C150" s="37" t="s">
        <v>744</v>
      </c>
      <c r="D150" s="37" t="s">
        <v>923</v>
      </c>
      <c r="E150" s="37" t="s">
        <v>9</v>
      </c>
      <c r="F150" s="37" t="s">
        <v>30</v>
      </c>
      <c r="G150" s="37" t="s">
        <v>42</v>
      </c>
      <c r="H150" s="37">
        <v>10.51</v>
      </c>
      <c r="I150" s="37">
        <v>23.858699999999999</v>
      </c>
      <c r="J150" s="37">
        <v>12.9741</v>
      </c>
      <c r="K150" s="37">
        <v>602.08569999999997</v>
      </c>
      <c r="L150" s="37">
        <v>1188.0914</v>
      </c>
      <c r="M150" s="37">
        <v>658.29200000000003</v>
      </c>
    </row>
    <row r="151" spans="2:13" x14ac:dyDescent="0.15">
      <c r="B151" s="37" t="s">
        <v>197</v>
      </c>
      <c r="C151" s="37" t="s">
        <v>744</v>
      </c>
      <c r="D151" s="37" t="s">
        <v>923</v>
      </c>
      <c r="E151" s="37" t="s">
        <v>9</v>
      </c>
      <c r="F151" s="37" t="s">
        <v>20</v>
      </c>
      <c r="G151" s="37" t="s">
        <v>42</v>
      </c>
      <c r="H151" s="37">
        <v>0.1246</v>
      </c>
      <c r="J151" s="37">
        <v>4.1500000000000002E-2</v>
      </c>
      <c r="K151" s="37">
        <v>7.4763999999999999</v>
      </c>
      <c r="M151" s="37">
        <v>3.0169000000000001</v>
      </c>
    </row>
    <row r="152" spans="2:13" x14ac:dyDescent="0.15">
      <c r="B152" s="37" t="s">
        <v>198</v>
      </c>
      <c r="C152" s="37" t="s">
        <v>744</v>
      </c>
      <c r="D152" s="37" t="s">
        <v>923</v>
      </c>
      <c r="E152" s="37" t="s">
        <v>9</v>
      </c>
      <c r="F152" s="37" t="s">
        <v>20</v>
      </c>
      <c r="G152" s="37" t="s">
        <v>68</v>
      </c>
      <c r="I152" s="37">
        <v>1.9545999999999999</v>
      </c>
      <c r="J152" s="37">
        <v>2.1882000000000001</v>
      </c>
      <c r="L152" s="37">
        <v>80.589100000000002</v>
      </c>
      <c r="M152" s="37">
        <v>78.875</v>
      </c>
    </row>
    <row r="153" spans="2:13" x14ac:dyDescent="0.15">
      <c r="B153" s="37" t="s">
        <v>199</v>
      </c>
      <c r="C153" s="37" t="s">
        <v>744</v>
      </c>
      <c r="D153" s="37" t="s">
        <v>923</v>
      </c>
      <c r="E153" s="37" t="s">
        <v>9</v>
      </c>
      <c r="F153" s="37" t="s">
        <v>64</v>
      </c>
      <c r="G153" s="37" t="s">
        <v>68</v>
      </c>
      <c r="H153" s="37">
        <v>4.02E-2</v>
      </c>
      <c r="J153" s="37">
        <v>5.1000000000000004E-3</v>
      </c>
      <c r="K153" s="37">
        <v>1.9040999999999999</v>
      </c>
      <c r="M153" s="37">
        <v>0.1958</v>
      </c>
    </row>
    <row r="154" spans="2:13" x14ac:dyDescent="0.15">
      <c r="B154" s="37" t="s">
        <v>201</v>
      </c>
      <c r="C154" s="37" t="s">
        <v>744</v>
      </c>
      <c r="D154" s="37" t="s">
        <v>924</v>
      </c>
      <c r="E154" s="37" t="s">
        <v>9</v>
      </c>
      <c r="F154" s="37" t="s">
        <v>20</v>
      </c>
      <c r="G154" s="37" t="s">
        <v>21</v>
      </c>
      <c r="I154" s="37">
        <v>6.88E-2</v>
      </c>
      <c r="J154" s="37">
        <v>1.5603</v>
      </c>
      <c r="L154" s="37">
        <v>2.9011</v>
      </c>
      <c r="M154" s="37">
        <v>56.070300000000003</v>
      </c>
    </row>
    <row r="155" spans="2:13" x14ac:dyDescent="0.15">
      <c r="B155" s="37" t="s">
        <v>203</v>
      </c>
      <c r="C155" s="37" t="s">
        <v>744</v>
      </c>
      <c r="D155" s="37" t="s">
        <v>925</v>
      </c>
      <c r="E155" s="37" t="s">
        <v>9</v>
      </c>
      <c r="F155" s="37" t="s">
        <v>20</v>
      </c>
      <c r="G155" s="37" t="s">
        <v>42</v>
      </c>
      <c r="H155" s="37">
        <v>225.05289999999999</v>
      </c>
      <c r="I155" s="37">
        <v>160.9256</v>
      </c>
      <c r="J155" s="37">
        <v>66.089799999999997</v>
      </c>
      <c r="K155" s="37">
        <v>14096.87</v>
      </c>
      <c r="L155" s="37">
        <v>9843.2201000000005</v>
      </c>
      <c r="M155" s="37">
        <v>3643.3836000000001</v>
      </c>
    </row>
    <row r="156" spans="2:13" x14ac:dyDescent="0.15">
      <c r="B156" s="37" t="s">
        <v>205</v>
      </c>
      <c r="C156" s="37" t="s">
        <v>744</v>
      </c>
      <c r="D156" s="37" t="s">
        <v>926</v>
      </c>
      <c r="E156" s="37" t="s">
        <v>9</v>
      </c>
      <c r="F156" s="37" t="s">
        <v>30</v>
      </c>
      <c r="G156" s="37" t="s">
        <v>42</v>
      </c>
      <c r="H156" s="37">
        <v>27.677700000000002</v>
      </c>
      <c r="I156" s="37">
        <v>22.1416</v>
      </c>
      <c r="J156" s="37">
        <v>9.0610999999999997</v>
      </c>
      <c r="K156" s="37">
        <v>1974.3932</v>
      </c>
      <c r="L156" s="37">
        <v>1482.2675999999999</v>
      </c>
      <c r="M156" s="37">
        <v>601.1807</v>
      </c>
    </row>
    <row r="157" spans="2:13" x14ac:dyDescent="0.15">
      <c r="B157" s="37" t="s">
        <v>208</v>
      </c>
      <c r="C157" s="37" t="s">
        <v>744</v>
      </c>
      <c r="D157" s="37" t="s">
        <v>927</v>
      </c>
      <c r="E157" s="37" t="s">
        <v>9</v>
      </c>
      <c r="F157" s="37" t="s">
        <v>30</v>
      </c>
      <c r="G157" s="37" t="s">
        <v>24</v>
      </c>
      <c r="H157" s="37">
        <v>41.221899999999998</v>
      </c>
      <c r="I157" s="37">
        <v>44.201300000000003</v>
      </c>
      <c r="J157" s="37">
        <v>20.616900000000001</v>
      </c>
      <c r="K157" s="37">
        <v>1922.9742000000001</v>
      </c>
      <c r="L157" s="37">
        <v>2020.3897999999999</v>
      </c>
      <c r="M157" s="37">
        <v>923.72320000000002</v>
      </c>
    </row>
    <row r="158" spans="2:13" x14ac:dyDescent="0.15">
      <c r="B158" s="37" t="s">
        <v>209</v>
      </c>
      <c r="C158" s="37" t="s">
        <v>744</v>
      </c>
      <c r="D158" s="37" t="s">
        <v>927</v>
      </c>
      <c r="E158" s="37" t="s">
        <v>9</v>
      </c>
      <c r="F158" s="37" t="s">
        <v>30</v>
      </c>
      <c r="G158" s="37" t="s">
        <v>24</v>
      </c>
      <c r="H158" s="37">
        <v>41.486600000000003</v>
      </c>
      <c r="I158" s="37">
        <v>73.395700000000005</v>
      </c>
      <c r="J158" s="37">
        <v>40.033299999999997</v>
      </c>
      <c r="K158" s="37">
        <v>2454.0007999999998</v>
      </c>
      <c r="L158" s="37">
        <v>4307.1679999999997</v>
      </c>
      <c r="M158" s="37">
        <v>2180.9749000000002</v>
      </c>
    </row>
    <row r="159" spans="2:13" x14ac:dyDescent="0.15">
      <c r="B159" s="37" t="s">
        <v>210</v>
      </c>
      <c r="C159" s="37" t="s">
        <v>744</v>
      </c>
      <c r="D159" s="37" t="s">
        <v>927</v>
      </c>
      <c r="E159" s="37" t="s">
        <v>9</v>
      </c>
      <c r="F159" s="37" t="s">
        <v>30</v>
      </c>
      <c r="G159" s="37" t="s">
        <v>42</v>
      </c>
      <c r="J159" s="37">
        <v>0.36020000000000002</v>
      </c>
      <c r="M159" s="37">
        <v>18.523700000000002</v>
      </c>
    </row>
    <row r="160" spans="2:13" x14ac:dyDescent="0.15">
      <c r="B160" s="37" t="s">
        <v>211</v>
      </c>
      <c r="C160" s="37" t="s">
        <v>744</v>
      </c>
      <c r="D160" s="37" t="s">
        <v>927</v>
      </c>
      <c r="E160" s="37" t="s">
        <v>9</v>
      </c>
      <c r="F160" s="37" t="s">
        <v>10</v>
      </c>
      <c r="G160" s="37" t="s">
        <v>42</v>
      </c>
      <c r="H160" s="37">
        <v>50.296300000000002</v>
      </c>
      <c r="I160" s="37">
        <v>34.107599999999998</v>
      </c>
      <c r="J160" s="37">
        <v>15.9543</v>
      </c>
      <c r="K160" s="37">
        <v>3350.8564000000001</v>
      </c>
      <c r="L160" s="37">
        <v>2178.5326</v>
      </c>
      <c r="M160" s="37">
        <v>866.22</v>
      </c>
    </row>
    <row r="161" spans="2:13" x14ac:dyDescent="0.15">
      <c r="B161" s="37" t="s">
        <v>212</v>
      </c>
      <c r="C161" s="37" t="s">
        <v>744</v>
      </c>
      <c r="D161" s="37" t="s">
        <v>927</v>
      </c>
      <c r="E161" s="37" t="s">
        <v>9</v>
      </c>
      <c r="F161" s="37" t="s">
        <v>10</v>
      </c>
      <c r="G161" s="37" t="s">
        <v>42</v>
      </c>
      <c r="H161" s="37">
        <v>5.0095999999999998</v>
      </c>
      <c r="I161" s="37">
        <v>5.5152000000000001</v>
      </c>
      <c r="J161" s="37">
        <v>4.4993999999999996</v>
      </c>
      <c r="K161" s="37">
        <v>141.5444</v>
      </c>
      <c r="L161" s="37">
        <v>154.2473</v>
      </c>
      <c r="M161" s="37">
        <v>124.59650000000001</v>
      </c>
    </row>
    <row r="162" spans="2:13" x14ac:dyDescent="0.15">
      <c r="B162" s="37" t="s">
        <v>214</v>
      </c>
      <c r="C162" s="37" t="s">
        <v>744</v>
      </c>
      <c r="D162" s="37" t="s">
        <v>928</v>
      </c>
      <c r="E162" s="37" t="s">
        <v>9</v>
      </c>
      <c r="F162" s="37" t="s">
        <v>30</v>
      </c>
      <c r="G162" s="37" t="s">
        <v>42</v>
      </c>
      <c r="H162" s="37">
        <v>4.6416000000000004</v>
      </c>
      <c r="I162" s="37">
        <v>5.1684999999999999</v>
      </c>
      <c r="J162" s="37">
        <v>0.78010000000000002</v>
      </c>
      <c r="K162" s="37">
        <v>142.55420000000001</v>
      </c>
      <c r="L162" s="37">
        <v>145.93899999999999</v>
      </c>
      <c r="M162" s="37">
        <v>21.435099999999998</v>
      </c>
    </row>
    <row r="163" spans="2:13" x14ac:dyDescent="0.15">
      <c r="B163" s="37" t="s">
        <v>216</v>
      </c>
      <c r="C163" s="37" t="s">
        <v>744</v>
      </c>
      <c r="D163" s="37" t="s">
        <v>913</v>
      </c>
      <c r="E163" s="37" t="s">
        <v>9</v>
      </c>
      <c r="F163" s="37" t="s">
        <v>30</v>
      </c>
      <c r="G163" s="37" t="s">
        <v>24</v>
      </c>
      <c r="H163" s="37">
        <v>137.1788</v>
      </c>
      <c r="I163" s="37">
        <v>116.5658</v>
      </c>
      <c r="J163" s="37">
        <v>65.912899999999993</v>
      </c>
      <c r="K163" s="37">
        <v>7929.3796000000002</v>
      </c>
      <c r="L163" s="37">
        <v>6740.5910999999996</v>
      </c>
      <c r="M163" s="37">
        <v>3524.3125</v>
      </c>
    </row>
    <row r="164" spans="2:13" x14ac:dyDescent="0.15">
      <c r="B164" s="37" t="s">
        <v>218</v>
      </c>
      <c r="C164" s="37" t="s">
        <v>745</v>
      </c>
      <c r="D164" s="37" t="s">
        <v>929</v>
      </c>
      <c r="E164" s="37" t="s">
        <v>9</v>
      </c>
      <c r="F164" s="37" t="s">
        <v>20</v>
      </c>
      <c r="G164" s="37" t="s">
        <v>21</v>
      </c>
      <c r="H164" s="37">
        <v>14.2293</v>
      </c>
      <c r="I164" s="37">
        <v>21.789000000000001</v>
      </c>
      <c r="J164" s="37">
        <v>7.9466000000000001</v>
      </c>
      <c r="K164" s="37">
        <v>761.61429999999996</v>
      </c>
      <c r="L164" s="37">
        <v>1129.7994000000001</v>
      </c>
      <c r="M164" s="37">
        <v>412.24349999999998</v>
      </c>
    </row>
    <row r="165" spans="2:13" x14ac:dyDescent="0.15">
      <c r="B165" s="37" t="s">
        <v>220</v>
      </c>
      <c r="C165" s="37" t="s">
        <v>746</v>
      </c>
      <c r="D165" s="37" t="s">
        <v>930</v>
      </c>
      <c r="E165" s="37" t="s">
        <v>9</v>
      </c>
      <c r="F165" s="37" t="s">
        <v>64</v>
      </c>
      <c r="G165" s="37" t="s">
        <v>42</v>
      </c>
      <c r="H165" s="37">
        <v>7.4866999999999999</v>
      </c>
      <c r="I165" s="37">
        <v>1.5100000000000001E-2</v>
      </c>
      <c r="K165" s="37">
        <v>509.18150000000003</v>
      </c>
      <c r="L165" s="37">
        <v>0.77590000000000003</v>
      </c>
    </row>
    <row r="166" spans="2:13" x14ac:dyDescent="0.15">
      <c r="B166" s="37" t="s">
        <v>223</v>
      </c>
      <c r="C166" s="37" t="s">
        <v>747</v>
      </c>
      <c r="D166" s="37" t="s">
        <v>931</v>
      </c>
      <c r="E166" s="37" t="s">
        <v>9</v>
      </c>
      <c r="F166" s="37" t="s">
        <v>64</v>
      </c>
      <c r="G166" s="37" t="s">
        <v>123</v>
      </c>
      <c r="H166" s="37">
        <v>1.3945000000000001</v>
      </c>
      <c r="K166" s="37">
        <v>67.202299999999994</v>
      </c>
    </row>
    <row r="167" spans="2:13" x14ac:dyDescent="0.15">
      <c r="B167" s="37" t="s">
        <v>224</v>
      </c>
      <c r="C167" s="37" t="s">
        <v>747</v>
      </c>
      <c r="D167" s="37" t="s">
        <v>931</v>
      </c>
      <c r="E167" s="37" t="s">
        <v>9</v>
      </c>
      <c r="F167" s="37" t="s">
        <v>30</v>
      </c>
      <c r="G167" s="37" t="s">
        <v>42</v>
      </c>
      <c r="H167" s="37">
        <v>7.7927999999999997</v>
      </c>
      <c r="K167" s="37">
        <v>362.96660000000003</v>
      </c>
    </row>
    <row r="168" spans="2:13" x14ac:dyDescent="0.15">
      <c r="B168" s="37" t="s">
        <v>226</v>
      </c>
      <c r="C168" s="37" t="s">
        <v>748</v>
      </c>
      <c r="D168" s="37" t="s">
        <v>932</v>
      </c>
      <c r="E168" s="37" t="s">
        <v>9</v>
      </c>
      <c r="F168" s="37" t="s">
        <v>10</v>
      </c>
      <c r="G168" s="37" t="s">
        <v>42</v>
      </c>
      <c r="H168" s="37">
        <v>63.770400000000002</v>
      </c>
      <c r="I168" s="37">
        <v>23.340299999999999</v>
      </c>
      <c r="J168" s="37">
        <v>11.8607</v>
      </c>
      <c r="K168" s="37">
        <v>2545.3452000000002</v>
      </c>
      <c r="L168" s="37">
        <v>949.45609999999999</v>
      </c>
      <c r="M168" s="37">
        <v>459.19099999999997</v>
      </c>
    </row>
    <row r="169" spans="2:13" x14ac:dyDescent="0.15">
      <c r="B169" s="37" t="s">
        <v>227</v>
      </c>
      <c r="C169" s="37" t="s">
        <v>748</v>
      </c>
      <c r="D169" s="37" t="s">
        <v>932</v>
      </c>
      <c r="E169" s="37" t="s">
        <v>9</v>
      </c>
      <c r="F169" s="37" t="s">
        <v>30</v>
      </c>
      <c r="G169" s="37" t="s">
        <v>42</v>
      </c>
      <c r="H169" s="37">
        <v>12.7019</v>
      </c>
      <c r="I169" s="37">
        <v>13.0259</v>
      </c>
      <c r="J169" s="37">
        <v>5.5613999999999999</v>
      </c>
      <c r="K169" s="37">
        <v>553.99599999999998</v>
      </c>
      <c r="L169" s="37">
        <v>562.68320000000006</v>
      </c>
      <c r="M169" s="37">
        <v>225.62440000000001</v>
      </c>
    </row>
    <row r="170" spans="2:13" x14ac:dyDescent="0.15">
      <c r="B170" s="37" t="s">
        <v>229</v>
      </c>
      <c r="C170" s="37" t="s">
        <v>748</v>
      </c>
      <c r="D170" s="37" t="s">
        <v>933</v>
      </c>
      <c r="E170" s="37" t="s">
        <v>9</v>
      </c>
      <c r="F170" s="37" t="s">
        <v>20</v>
      </c>
      <c r="G170" s="37" t="s">
        <v>42</v>
      </c>
      <c r="H170" s="37">
        <v>0.59</v>
      </c>
      <c r="K170" s="37">
        <v>18.470099999999999</v>
      </c>
    </row>
    <row r="171" spans="2:13" x14ac:dyDescent="0.15">
      <c r="B171" s="37" t="s">
        <v>230</v>
      </c>
      <c r="C171" s="37" t="s">
        <v>748</v>
      </c>
      <c r="D171" s="37" t="s">
        <v>933</v>
      </c>
      <c r="E171" s="37" t="s">
        <v>9</v>
      </c>
      <c r="F171" s="37" t="s">
        <v>30</v>
      </c>
      <c r="G171" s="37" t="s">
        <v>42</v>
      </c>
      <c r="H171" s="37">
        <v>0.59</v>
      </c>
      <c r="K171" s="37">
        <v>18.470099999999999</v>
      </c>
    </row>
    <row r="172" spans="2:13" x14ac:dyDescent="0.15">
      <c r="B172" s="37" t="s">
        <v>232</v>
      </c>
      <c r="C172" s="37" t="s">
        <v>749</v>
      </c>
      <c r="D172" s="37" t="s">
        <v>934</v>
      </c>
      <c r="E172" s="37" t="s">
        <v>9</v>
      </c>
      <c r="F172" s="37" t="s">
        <v>69</v>
      </c>
      <c r="G172" s="37" t="s">
        <v>15</v>
      </c>
      <c r="I172" s="37">
        <v>1.1446000000000001</v>
      </c>
      <c r="J172" s="37">
        <v>0.29039999999999999</v>
      </c>
      <c r="L172" s="37">
        <v>11.6808</v>
      </c>
      <c r="M172" s="37">
        <v>3.3864000000000001</v>
      </c>
    </row>
    <row r="173" spans="2:13" x14ac:dyDescent="0.15">
      <c r="B173" s="37" t="s">
        <v>233</v>
      </c>
      <c r="C173" s="37" t="s">
        <v>749</v>
      </c>
      <c r="D173" s="37" t="s">
        <v>934</v>
      </c>
      <c r="E173" s="37" t="s">
        <v>9</v>
      </c>
      <c r="F173" s="37" t="s">
        <v>69</v>
      </c>
      <c r="G173" s="37" t="s">
        <v>15</v>
      </c>
      <c r="I173" s="37">
        <v>0.49220000000000003</v>
      </c>
      <c r="J173" s="37">
        <v>0.1164</v>
      </c>
      <c r="L173" s="37">
        <v>4.2202000000000002</v>
      </c>
      <c r="M173" s="37">
        <v>0.85</v>
      </c>
    </row>
    <row r="174" spans="2:13" x14ac:dyDescent="0.15">
      <c r="B174" s="37" t="s">
        <v>234</v>
      </c>
      <c r="C174" s="37" t="s">
        <v>749</v>
      </c>
      <c r="D174" s="37" t="s">
        <v>934</v>
      </c>
      <c r="E174" s="37" t="s">
        <v>9</v>
      </c>
      <c r="F174" s="37" t="s">
        <v>20</v>
      </c>
      <c r="G174" s="37" t="s">
        <v>15</v>
      </c>
      <c r="I174" s="37">
        <v>1.4152</v>
      </c>
      <c r="J174" s="37">
        <v>0.3513</v>
      </c>
      <c r="L174" s="37">
        <v>20.5671</v>
      </c>
      <c r="M174" s="37">
        <v>6.5918999999999999</v>
      </c>
    </row>
    <row r="175" spans="2:13" x14ac:dyDescent="0.15">
      <c r="B175" s="37" t="s">
        <v>236</v>
      </c>
      <c r="C175" s="37" t="s">
        <v>749</v>
      </c>
      <c r="D175" s="37" t="s">
        <v>935</v>
      </c>
      <c r="E175" s="37" t="s">
        <v>9</v>
      </c>
      <c r="F175" s="37" t="s">
        <v>10</v>
      </c>
      <c r="G175" s="37" t="s">
        <v>24</v>
      </c>
      <c r="H175" s="37">
        <v>6.1999999999999998E-3</v>
      </c>
      <c r="I175" s="37">
        <v>21.155899999999999</v>
      </c>
      <c r="J175" s="37">
        <v>10.029400000000001</v>
      </c>
      <c r="K175" s="37">
        <v>0.32569999999999999</v>
      </c>
      <c r="L175" s="37">
        <v>1092.0349000000001</v>
      </c>
      <c r="M175" s="37">
        <v>489.28280000000001</v>
      </c>
    </row>
    <row r="176" spans="2:13" x14ac:dyDescent="0.15">
      <c r="B176" s="37" t="s">
        <v>237</v>
      </c>
      <c r="C176" s="37" t="s">
        <v>749</v>
      </c>
      <c r="D176" s="37" t="s">
        <v>935</v>
      </c>
      <c r="E176" s="37" t="s">
        <v>9</v>
      </c>
      <c r="F176" s="37" t="s">
        <v>10</v>
      </c>
      <c r="G176" s="37" t="s">
        <v>42</v>
      </c>
      <c r="H176" s="37">
        <v>230.74209999999999</v>
      </c>
      <c r="I176" s="37">
        <v>277.85789999999997</v>
      </c>
      <c r="J176" s="37">
        <v>133.2149</v>
      </c>
      <c r="K176" s="37">
        <v>11792.3397</v>
      </c>
      <c r="L176" s="37">
        <v>14416.314700000001</v>
      </c>
      <c r="M176" s="37">
        <v>6626.5474000000004</v>
      </c>
    </row>
    <row r="177" spans="2:13" x14ac:dyDescent="0.15">
      <c r="B177" s="37" t="s">
        <v>240</v>
      </c>
      <c r="C177" s="37" t="s">
        <v>750</v>
      </c>
      <c r="D177" s="37" t="s">
        <v>936</v>
      </c>
      <c r="E177" s="37" t="s">
        <v>9</v>
      </c>
      <c r="F177" s="37" t="s">
        <v>20</v>
      </c>
      <c r="G177" s="37" t="s">
        <v>15</v>
      </c>
      <c r="H177" s="37">
        <v>0.37059999999999998</v>
      </c>
      <c r="I177" s="37">
        <v>0.24890000000000001</v>
      </c>
      <c r="K177" s="37">
        <v>9.2727000000000004</v>
      </c>
      <c r="L177" s="37">
        <v>7.0415000000000001</v>
      </c>
    </row>
    <row r="178" spans="2:13" x14ac:dyDescent="0.15">
      <c r="B178" s="37" t="s">
        <v>241</v>
      </c>
      <c r="C178" s="37" t="s">
        <v>750</v>
      </c>
      <c r="D178" s="37" t="s">
        <v>936</v>
      </c>
      <c r="E178" s="37" t="s">
        <v>9</v>
      </c>
      <c r="F178" s="37" t="s">
        <v>20</v>
      </c>
      <c r="G178" s="37" t="s">
        <v>99</v>
      </c>
      <c r="H178" s="37">
        <v>29.4162</v>
      </c>
      <c r="I178" s="37">
        <v>107.9663</v>
      </c>
      <c r="J178" s="37">
        <v>52.6723</v>
      </c>
      <c r="K178" s="37">
        <v>866.39819999999997</v>
      </c>
      <c r="L178" s="37">
        <v>3176.0981999999999</v>
      </c>
      <c r="M178" s="37">
        <v>1396.3396</v>
      </c>
    </row>
    <row r="179" spans="2:13" x14ac:dyDescent="0.15">
      <c r="B179" s="37" t="s">
        <v>242</v>
      </c>
      <c r="C179" s="37" t="s">
        <v>750</v>
      </c>
      <c r="D179" s="37" t="s">
        <v>936</v>
      </c>
      <c r="E179" s="37" t="s">
        <v>9</v>
      </c>
      <c r="F179" s="37" t="s">
        <v>20</v>
      </c>
      <c r="G179" s="37" t="s">
        <v>99</v>
      </c>
      <c r="H179" s="37">
        <v>2.2702</v>
      </c>
      <c r="I179" s="37">
        <v>6.8476999999999997</v>
      </c>
      <c r="J179" s="37">
        <v>4.3963000000000001</v>
      </c>
      <c r="K179" s="37">
        <v>71.277600000000007</v>
      </c>
      <c r="L179" s="37">
        <v>210.60059999999999</v>
      </c>
      <c r="M179" s="37">
        <v>121.2728</v>
      </c>
    </row>
    <row r="180" spans="2:13" x14ac:dyDescent="0.15">
      <c r="B180" s="37" t="s">
        <v>243</v>
      </c>
      <c r="C180" s="37" t="s">
        <v>750</v>
      </c>
      <c r="D180" s="37" t="s">
        <v>936</v>
      </c>
      <c r="E180" s="37" t="s">
        <v>9</v>
      </c>
      <c r="F180" s="37" t="s">
        <v>20</v>
      </c>
      <c r="G180" s="37" t="s">
        <v>99</v>
      </c>
      <c r="H180" s="37">
        <v>296.26589999999999</v>
      </c>
      <c r="I180" s="37">
        <v>290.55259999999998</v>
      </c>
      <c r="J180" s="37">
        <v>128.1713</v>
      </c>
      <c r="K180" s="37">
        <v>8749.3634000000002</v>
      </c>
      <c r="L180" s="37">
        <v>8593.8201000000008</v>
      </c>
      <c r="M180" s="37">
        <v>3618.6093999999998</v>
      </c>
    </row>
    <row r="181" spans="2:13" x14ac:dyDescent="0.15">
      <c r="B181" s="37" t="s">
        <v>244</v>
      </c>
      <c r="C181" s="37" t="s">
        <v>750</v>
      </c>
      <c r="D181" s="37" t="s">
        <v>936</v>
      </c>
      <c r="E181" s="37" t="s">
        <v>9</v>
      </c>
      <c r="F181" s="37" t="s">
        <v>20</v>
      </c>
      <c r="G181" s="37" t="s">
        <v>99</v>
      </c>
      <c r="H181" s="37">
        <v>2.9716999999999998</v>
      </c>
      <c r="I181" s="37">
        <v>0.47810000000000002</v>
      </c>
      <c r="J181" s="37">
        <v>0.26490000000000002</v>
      </c>
      <c r="K181" s="37">
        <v>93.2804</v>
      </c>
      <c r="L181" s="37">
        <v>14.5885</v>
      </c>
      <c r="M181" s="37">
        <v>7.5808999999999997</v>
      </c>
    </row>
    <row r="182" spans="2:13" x14ac:dyDescent="0.15">
      <c r="B182" s="37" t="s">
        <v>245</v>
      </c>
      <c r="C182" s="37" t="s">
        <v>750</v>
      </c>
      <c r="D182" s="37" t="s">
        <v>936</v>
      </c>
      <c r="E182" s="37" t="s">
        <v>9</v>
      </c>
      <c r="F182" s="37" t="s">
        <v>20</v>
      </c>
      <c r="G182" s="37" t="s">
        <v>123</v>
      </c>
      <c r="H182" s="37">
        <v>0.21840000000000001</v>
      </c>
      <c r="K182" s="37">
        <v>7.3784000000000001</v>
      </c>
    </row>
    <row r="183" spans="2:13" x14ac:dyDescent="0.15">
      <c r="B183" s="37" t="s">
        <v>246</v>
      </c>
      <c r="C183" s="37" t="s">
        <v>750</v>
      </c>
      <c r="D183" s="37" t="s">
        <v>936</v>
      </c>
      <c r="E183" s="37" t="s">
        <v>9</v>
      </c>
      <c r="F183" s="37" t="s">
        <v>10</v>
      </c>
      <c r="G183" s="37" t="s">
        <v>123</v>
      </c>
      <c r="H183" s="37">
        <v>0.50360000000000005</v>
      </c>
      <c r="K183" s="37">
        <v>14.988200000000001</v>
      </c>
    </row>
    <row r="184" spans="2:13" x14ac:dyDescent="0.15">
      <c r="B184" s="37" t="s">
        <v>248</v>
      </c>
      <c r="C184" s="37" t="s">
        <v>751</v>
      </c>
      <c r="D184" s="37" t="s">
        <v>937</v>
      </c>
      <c r="E184" s="37" t="s">
        <v>9</v>
      </c>
      <c r="F184" s="37" t="s">
        <v>249</v>
      </c>
      <c r="G184" s="37" t="s">
        <v>11</v>
      </c>
      <c r="H184" s="37">
        <v>0.17610000000000001</v>
      </c>
      <c r="I184" s="37">
        <v>1.0699999999999999E-2</v>
      </c>
      <c r="K184" s="37">
        <v>3.1602000000000001</v>
      </c>
      <c r="L184" s="37">
        <v>0.19450000000000001</v>
      </c>
    </row>
    <row r="185" spans="2:13" x14ac:dyDescent="0.15">
      <c r="B185" s="37" t="s">
        <v>250</v>
      </c>
      <c r="C185" s="37" t="s">
        <v>751</v>
      </c>
      <c r="D185" s="37" t="s">
        <v>937</v>
      </c>
      <c r="E185" s="37" t="s">
        <v>9</v>
      </c>
      <c r="F185" s="37" t="s">
        <v>249</v>
      </c>
      <c r="G185" s="37" t="s">
        <v>11</v>
      </c>
      <c r="H185" s="37">
        <v>0.50239999999999996</v>
      </c>
      <c r="I185" s="37">
        <v>6.6451000000000002</v>
      </c>
      <c r="K185" s="37">
        <v>10.56</v>
      </c>
      <c r="L185" s="37">
        <v>115.3312</v>
      </c>
    </row>
    <row r="186" spans="2:13" x14ac:dyDescent="0.15">
      <c r="B186" s="37" t="s">
        <v>251</v>
      </c>
      <c r="C186" s="37" t="s">
        <v>751</v>
      </c>
      <c r="D186" s="37" t="s">
        <v>937</v>
      </c>
      <c r="E186" s="37" t="s">
        <v>9</v>
      </c>
      <c r="F186" s="37" t="s">
        <v>249</v>
      </c>
      <c r="G186" s="37" t="s">
        <v>34</v>
      </c>
      <c r="H186" s="37">
        <v>0.31990000000000002</v>
      </c>
      <c r="K186" s="37">
        <v>7.3638000000000003</v>
      </c>
    </row>
    <row r="187" spans="2:13" x14ac:dyDescent="0.15">
      <c r="B187" s="37" t="s">
        <v>252</v>
      </c>
      <c r="C187" s="37" t="s">
        <v>751</v>
      </c>
      <c r="D187" s="37" t="s">
        <v>937</v>
      </c>
      <c r="E187" s="37" t="s">
        <v>9</v>
      </c>
      <c r="F187" s="37" t="s">
        <v>249</v>
      </c>
      <c r="G187" s="37" t="s">
        <v>34</v>
      </c>
      <c r="H187" s="37">
        <v>3.0116000000000001</v>
      </c>
      <c r="K187" s="37">
        <v>62.468000000000004</v>
      </c>
    </row>
    <row r="188" spans="2:13" x14ac:dyDescent="0.15">
      <c r="B188" s="37" t="s">
        <v>254</v>
      </c>
      <c r="C188" s="37" t="s">
        <v>752</v>
      </c>
      <c r="D188" s="37" t="s">
        <v>938</v>
      </c>
      <c r="E188" s="37" t="s">
        <v>9</v>
      </c>
      <c r="F188" s="37" t="s">
        <v>20</v>
      </c>
      <c r="G188" s="37" t="s">
        <v>13</v>
      </c>
      <c r="H188" s="37">
        <v>1.7111000000000001</v>
      </c>
      <c r="I188" s="37">
        <v>0.48920000000000002</v>
      </c>
      <c r="J188" s="37">
        <v>7.6600000000000001E-2</v>
      </c>
      <c r="K188" s="37">
        <v>14.330299999999999</v>
      </c>
      <c r="L188" s="37">
        <v>3.8454999999999999</v>
      </c>
      <c r="M188" s="37">
        <v>0.62309999999999999</v>
      </c>
    </row>
    <row r="189" spans="2:13" x14ac:dyDescent="0.15">
      <c r="B189" s="37" t="s">
        <v>255</v>
      </c>
      <c r="C189" s="37" t="s">
        <v>752</v>
      </c>
      <c r="D189" s="37" t="s">
        <v>938</v>
      </c>
      <c r="E189" s="37" t="s">
        <v>9</v>
      </c>
      <c r="F189" s="37" t="s">
        <v>64</v>
      </c>
      <c r="G189" s="37" t="s">
        <v>256</v>
      </c>
      <c r="H189" s="37">
        <v>88.057900000000004</v>
      </c>
      <c r="I189" s="37">
        <v>26.767399999999999</v>
      </c>
      <c r="J189" s="37">
        <v>2.3372999999999999</v>
      </c>
      <c r="K189" s="37">
        <v>2166.7952</v>
      </c>
      <c r="L189" s="37">
        <v>614.64589999999998</v>
      </c>
      <c r="M189" s="37">
        <v>48.202599999999997</v>
      </c>
    </row>
    <row r="190" spans="2:13" x14ac:dyDescent="0.15">
      <c r="B190" s="37" t="s">
        <v>257</v>
      </c>
      <c r="C190" s="37" t="s">
        <v>752</v>
      </c>
      <c r="D190" s="37" t="s">
        <v>938</v>
      </c>
      <c r="E190" s="37" t="s">
        <v>9</v>
      </c>
      <c r="F190" s="37" t="s">
        <v>10</v>
      </c>
      <c r="G190" s="37" t="s">
        <v>34</v>
      </c>
      <c r="H190" s="37">
        <v>1.0826</v>
      </c>
      <c r="I190" s="37">
        <v>0.79220000000000002</v>
      </c>
      <c r="K190" s="37">
        <v>19.760000000000002</v>
      </c>
      <c r="L190" s="37">
        <v>17.024000000000001</v>
      </c>
    </row>
    <row r="191" spans="2:13" x14ac:dyDescent="0.15">
      <c r="B191" s="37" t="s">
        <v>258</v>
      </c>
      <c r="C191" s="37" t="s">
        <v>752</v>
      </c>
      <c r="D191" s="37" t="s">
        <v>938</v>
      </c>
      <c r="E191" s="37" t="s">
        <v>9</v>
      </c>
      <c r="F191" s="37" t="s">
        <v>20</v>
      </c>
      <c r="G191" s="37" t="s">
        <v>34</v>
      </c>
      <c r="H191" s="37">
        <v>0.44109999999999999</v>
      </c>
      <c r="I191" s="37">
        <v>0.41260000000000002</v>
      </c>
      <c r="J191" s="37">
        <v>4.5600000000000002E-2</v>
      </c>
      <c r="K191" s="37">
        <v>8.4567999999999994</v>
      </c>
      <c r="L191" s="37">
        <v>6.601</v>
      </c>
      <c r="M191" s="37">
        <v>0.72929999999999995</v>
      </c>
    </row>
    <row r="192" spans="2:13" x14ac:dyDescent="0.15">
      <c r="B192" s="37" t="s">
        <v>259</v>
      </c>
      <c r="C192" s="37" t="s">
        <v>752</v>
      </c>
      <c r="D192" s="37" t="s">
        <v>938</v>
      </c>
      <c r="E192" s="37" t="s">
        <v>9</v>
      </c>
      <c r="F192" s="37" t="s">
        <v>64</v>
      </c>
      <c r="G192" s="37" t="s">
        <v>34</v>
      </c>
      <c r="H192" s="37">
        <v>2.1700000000000001E-2</v>
      </c>
      <c r="K192" s="37">
        <v>0.48470000000000002</v>
      </c>
    </row>
    <row r="193" spans="2:13" x14ac:dyDescent="0.15">
      <c r="B193" s="37" t="s">
        <v>260</v>
      </c>
      <c r="C193" s="37" t="s">
        <v>752</v>
      </c>
      <c r="D193" s="37" t="s">
        <v>938</v>
      </c>
      <c r="E193" s="37" t="s">
        <v>9</v>
      </c>
      <c r="F193" s="37" t="s">
        <v>20</v>
      </c>
      <c r="G193" s="37" t="s">
        <v>34</v>
      </c>
      <c r="H193" s="37">
        <v>1.675</v>
      </c>
      <c r="I193" s="37">
        <v>2.4634999999999998</v>
      </c>
      <c r="J193" s="37">
        <v>0.86060000000000003</v>
      </c>
      <c r="K193" s="37">
        <v>31.331099999999999</v>
      </c>
      <c r="L193" s="37">
        <v>43.584000000000003</v>
      </c>
      <c r="M193" s="37">
        <v>15.645899999999999</v>
      </c>
    </row>
    <row r="194" spans="2:13" x14ac:dyDescent="0.15">
      <c r="B194" s="37" t="s">
        <v>261</v>
      </c>
      <c r="C194" s="37" t="s">
        <v>752</v>
      </c>
      <c r="D194" s="37" t="s">
        <v>938</v>
      </c>
      <c r="E194" s="37" t="s">
        <v>9</v>
      </c>
      <c r="F194" s="37" t="s">
        <v>20</v>
      </c>
      <c r="G194" s="37" t="s">
        <v>34</v>
      </c>
      <c r="H194" s="37">
        <v>9.3126999999999995</v>
      </c>
      <c r="I194" s="37">
        <v>6.4108999999999998</v>
      </c>
      <c r="J194" s="37">
        <v>5.0708000000000002</v>
      </c>
      <c r="K194" s="37">
        <v>206.11410000000001</v>
      </c>
      <c r="L194" s="37">
        <v>126.16</v>
      </c>
      <c r="M194" s="37">
        <v>101.6622</v>
      </c>
    </row>
    <row r="195" spans="2:13" x14ac:dyDescent="0.15">
      <c r="B195" s="37" t="s">
        <v>262</v>
      </c>
      <c r="C195" s="37" t="s">
        <v>752</v>
      </c>
      <c r="D195" s="37" t="s">
        <v>938</v>
      </c>
      <c r="E195" s="37" t="s">
        <v>9</v>
      </c>
      <c r="F195" s="37" t="s">
        <v>20</v>
      </c>
      <c r="G195" s="37" t="s">
        <v>34</v>
      </c>
      <c r="H195" s="37">
        <v>11.1845</v>
      </c>
      <c r="I195" s="37">
        <v>11.7105</v>
      </c>
      <c r="J195" s="37">
        <v>3.9420000000000002</v>
      </c>
      <c r="K195" s="37">
        <v>216.30410000000001</v>
      </c>
      <c r="L195" s="37">
        <v>238.77709999999999</v>
      </c>
      <c r="M195" s="37">
        <v>77.523899999999998</v>
      </c>
    </row>
    <row r="196" spans="2:13" x14ac:dyDescent="0.15">
      <c r="B196" s="37" t="s">
        <v>264</v>
      </c>
      <c r="C196" s="37" t="s">
        <v>753</v>
      </c>
      <c r="D196" s="37" t="s">
        <v>939</v>
      </c>
      <c r="E196" s="37" t="s">
        <v>9</v>
      </c>
      <c r="F196" s="37" t="s">
        <v>69</v>
      </c>
      <c r="G196" s="37" t="s">
        <v>42</v>
      </c>
      <c r="H196" s="37">
        <v>6.6299999999999998E-2</v>
      </c>
      <c r="I196" s="37">
        <v>0.12959999999999999</v>
      </c>
      <c r="J196" s="37">
        <v>7.1499999999999994E-2</v>
      </c>
      <c r="K196" s="37">
        <v>0.504</v>
      </c>
      <c r="L196" s="37">
        <v>0.91539999999999999</v>
      </c>
      <c r="M196" s="37">
        <v>0.52459999999999996</v>
      </c>
    </row>
    <row r="197" spans="2:13" x14ac:dyDescent="0.15">
      <c r="B197" s="37" t="s">
        <v>266</v>
      </c>
      <c r="C197" s="37" t="s">
        <v>754</v>
      </c>
      <c r="D197" s="37" t="s">
        <v>940</v>
      </c>
      <c r="E197" s="37" t="s">
        <v>9</v>
      </c>
      <c r="F197" s="37" t="s">
        <v>10</v>
      </c>
      <c r="G197" s="37" t="s">
        <v>13</v>
      </c>
      <c r="H197" s="37">
        <v>0.61529999999999996</v>
      </c>
      <c r="I197" s="37">
        <v>0.502</v>
      </c>
      <c r="J197" s="37">
        <v>4.99E-2</v>
      </c>
      <c r="K197" s="37">
        <v>4.0616000000000003</v>
      </c>
      <c r="L197" s="37">
        <v>3.2562000000000002</v>
      </c>
      <c r="M197" s="37">
        <v>0.25269999999999998</v>
      </c>
    </row>
    <row r="198" spans="2:13" x14ac:dyDescent="0.15">
      <c r="B198" s="37" t="s">
        <v>267</v>
      </c>
      <c r="C198" s="37" t="s">
        <v>754</v>
      </c>
      <c r="D198" s="37" t="s">
        <v>940</v>
      </c>
      <c r="E198" s="37" t="s">
        <v>9</v>
      </c>
      <c r="F198" s="37" t="s">
        <v>10</v>
      </c>
      <c r="G198" s="37" t="s">
        <v>268</v>
      </c>
      <c r="H198" s="37">
        <v>18.4224</v>
      </c>
      <c r="I198" s="37">
        <v>21.849599999999999</v>
      </c>
      <c r="J198" s="37">
        <v>15.9329</v>
      </c>
      <c r="K198" s="37">
        <v>154.90440000000001</v>
      </c>
      <c r="L198" s="37">
        <v>191.65379999999999</v>
      </c>
      <c r="M198" s="37">
        <v>151.1</v>
      </c>
    </row>
    <row r="199" spans="2:13" x14ac:dyDescent="0.15">
      <c r="B199" s="37" t="s">
        <v>269</v>
      </c>
      <c r="C199" s="37" t="s">
        <v>754</v>
      </c>
      <c r="D199" s="37" t="s">
        <v>940</v>
      </c>
      <c r="E199" s="37" t="s">
        <v>9</v>
      </c>
      <c r="F199" s="37" t="s">
        <v>10</v>
      </c>
      <c r="G199" s="37" t="s">
        <v>270</v>
      </c>
      <c r="H199" s="37">
        <v>1.851</v>
      </c>
      <c r="I199" s="37">
        <v>2.4146999999999998</v>
      </c>
      <c r="J199" s="37">
        <v>0.80920000000000003</v>
      </c>
      <c r="K199" s="37">
        <v>10.083500000000001</v>
      </c>
      <c r="L199" s="37">
        <v>14.928100000000001</v>
      </c>
      <c r="M199" s="37">
        <v>5.5830000000000002</v>
      </c>
    </row>
    <row r="200" spans="2:13" x14ac:dyDescent="0.15">
      <c r="B200" s="37" t="s">
        <v>271</v>
      </c>
      <c r="C200" s="37" t="s">
        <v>754</v>
      </c>
      <c r="D200" s="37" t="s">
        <v>940</v>
      </c>
      <c r="E200" s="37" t="s">
        <v>9</v>
      </c>
      <c r="F200" s="37" t="s">
        <v>10</v>
      </c>
      <c r="G200" s="37" t="s">
        <v>99</v>
      </c>
      <c r="H200" s="37">
        <v>198.11109999999999</v>
      </c>
      <c r="I200" s="37">
        <v>233.6309</v>
      </c>
      <c r="J200" s="37">
        <v>113.3126</v>
      </c>
      <c r="K200" s="37">
        <v>1569.5084999999999</v>
      </c>
      <c r="L200" s="37">
        <v>2030.1902</v>
      </c>
      <c r="M200" s="37">
        <v>989.67420000000004</v>
      </c>
    </row>
    <row r="201" spans="2:13" x14ac:dyDescent="0.15">
      <c r="B201" s="37" t="s">
        <v>272</v>
      </c>
      <c r="C201" s="37" t="s">
        <v>754</v>
      </c>
      <c r="D201" s="37" t="s">
        <v>940</v>
      </c>
      <c r="E201" s="37" t="s">
        <v>9</v>
      </c>
      <c r="F201" s="37" t="s">
        <v>10</v>
      </c>
      <c r="G201" s="37" t="s">
        <v>99</v>
      </c>
      <c r="H201" s="37">
        <v>1.278</v>
      </c>
      <c r="I201" s="37">
        <v>13.6012</v>
      </c>
      <c r="J201" s="37">
        <v>11.1342</v>
      </c>
      <c r="K201" s="37">
        <v>10.3644</v>
      </c>
      <c r="L201" s="37">
        <v>118.5029</v>
      </c>
      <c r="M201" s="37">
        <v>94.131399999999999</v>
      </c>
    </row>
    <row r="202" spans="2:13" x14ac:dyDescent="0.15">
      <c r="B202" s="37" t="s">
        <v>822</v>
      </c>
      <c r="C202" s="37" t="s">
        <v>755</v>
      </c>
      <c r="D202" s="37" t="s">
        <v>941</v>
      </c>
      <c r="E202" s="37" t="s">
        <v>9</v>
      </c>
      <c r="F202" s="37" t="s">
        <v>10</v>
      </c>
      <c r="G202" s="37" t="s">
        <v>34</v>
      </c>
      <c r="I202" s="37">
        <v>0.2286</v>
      </c>
      <c r="J202" s="37">
        <v>8.4099999999999994E-2</v>
      </c>
      <c r="L202" s="37">
        <v>3.6671999999999998</v>
      </c>
      <c r="M202" s="37">
        <v>1.3489</v>
      </c>
    </row>
    <row r="203" spans="2:13" x14ac:dyDescent="0.15">
      <c r="B203" s="37" t="s">
        <v>275</v>
      </c>
      <c r="C203" s="37" t="s">
        <v>755</v>
      </c>
      <c r="D203" s="37" t="s">
        <v>942</v>
      </c>
      <c r="E203" s="37" t="s">
        <v>9</v>
      </c>
      <c r="F203" s="37" t="s">
        <v>10</v>
      </c>
      <c r="G203" s="37" t="s">
        <v>34</v>
      </c>
      <c r="I203" s="37">
        <v>0.22009999999999999</v>
      </c>
      <c r="J203" s="37">
        <v>0.1012</v>
      </c>
      <c r="L203" s="37">
        <v>3.5211000000000001</v>
      </c>
      <c r="M203" s="37">
        <v>1.6187</v>
      </c>
    </row>
    <row r="204" spans="2:13" x14ac:dyDescent="0.15">
      <c r="B204" s="37" t="s">
        <v>277</v>
      </c>
      <c r="C204" s="37" t="s">
        <v>756</v>
      </c>
      <c r="D204" s="37" t="s">
        <v>943</v>
      </c>
      <c r="E204" s="37" t="s">
        <v>9</v>
      </c>
      <c r="F204" s="37" t="s">
        <v>249</v>
      </c>
      <c r="G204" s="37" t="s">
        <v>11</v>
      </c>
      <c r="H204" s="37">
        <v>0.3851</v>
      </c>
      <c r="I204" s="37">
        <v>0.10680000000000001</v>
      </c>
      <c r="K204" s="37">
        <v>4.9682000000000004</v>
      </c>
      <c r="L204" s="37">
        <v>1.3105</v>
      </c>
    </row>
    <row r="205" spans="2:13" x14ac:dyDescent="0.15">
      <c r="B205" s="37" t="s">
        <v>278</v>
      </c>
      <c r="C205" s="37" t="s">
        <v>756</v>
      </c>
      <c r="D205" s="37" t="s">
        <v>943</v>
      </c>
      <c r="E205" s="37" t="s">
        <v>9</v>
      </c>
      <c r="F205" s="37" t="s">
        <v>64</v>
      </c>
      <c r="G205" s="37" t="s">
        <v>34</v>
      </c>
      <c r="H205" s="37">
        <v>1.0960000000000001</v>
      </c>
      <c r="I205" s="37">
        <v>0.3664</v>
      </c>
      <c r="J205" s="37">
        <v>5.7799999999999997E-2</v>
      </c>
      <c r="K205" s="37">
        <v>13.8332</v>
      </c>
      <c r="L205" s="37">
        <v>3.4159999999999999</v>
      </c>
      <c r="M205" s="37">
        <v>0.48</v>
      </c>
    </row>
    <row r="206" spans="2:13" x14ac:dyDescent="0.15">
      <c r="B206" s="37" t="s">
        <v>279</v>
      </c>
      <c r="C206" s="37" t="s">
        <v>756</v>
      </c>
      <c r="D206" s="37" t="s">
        <v>943</v>
      </c>
      <c r="E206" s="37" t="s">
        <v>9</v>
      </c>
      <c r="F206" s="37" t="s">
        <v>64</v>
      </c>
      <c r="G206" s="37" t="s">
        <v>34</v>
      </c>
      <c r="H206" s="37">
        <v>8.1957000000000004</v>
      </c>
      <c r="I206" s="37">
        <v>0.14119999999999999</v>
      </c>
      <c r="J206" s="37">
        <v>1.1000000000000001E-3</v>
      </c>
      <c r="K206" s="37">
        <v>213.62710000000001</v>
      </c>
      <c r="L206" s="37">
        <v>2.6021999999999998</v>
      </c>
      <c r="M206" s="37">
        <v>1.6E-2</v>
      </c>
    </row>
    <row r="207" spans="2:13" x14ac:dyDescent="0.15">
      <c r="B207" s="37" t="s">
        <v>280</v>
      </c>
      <c r="C207" s="37" t="s">
        <v>756</v>
      </c>
      <c r="D207" s="37" t="s">
        <v>943</v>
      </c>
      <c r="E207" s="37" t="s">
        <v>9</v>
      </c>
      <c r="F207" s="37" t="s">
        <v>249</v>
      </c>
      <c r="G207" s="37" t="s">
        <v>34</v>
      </c>
      <c r="H207" s="37">
        <v>2.8999999999999998E-3</v>
      </c>
      <c r="K207" s="37">
        <v>0.17960000000000001</v>
      </c>
    </row>
    <row r="208" spans="2:13" x14ac:dyDescent="0.15">
      <c r="B208" s="37" t="s">
        <v>282</v>
      </c>
      <c r="C208" s="37" t="s">
        <v>756</v>
      </c>
      <c r="D208" s="37" t="s">
        <v>943</v>
      </c>
      <c r="E208" s="37" t="s">
        <v>9</v>
      </c>
      <c r="F208" s="37" t="s">
        <v>10</v>
      </c>
      <c r="G208" s="37" t="s">
        <v>34</v>
      </c>
      <c r="H208" s="37">
        <v>0.22670000000000001</v>
      </c>
      <c r="K208" s="37">
        <v>4.5189000000000004</v>
      </c>
    </row>
    <row r="209" spans="2:13" x14ac:dyDescent="0.15">
      <c r="B209" s="37" t="s">
        <v>283</v>
      </c>
      <c r="C209" s="37" t="s">
        <v>756</v>
      </c>
      <c r="D209" s="37" t="s">
        <v>943</v>
      </c>
      <c r="E209" s="37" t="s">
        <v>9</v>
      </c>
      <c r="F209" s="37" t="s">
        <v>249</v>
      </c>
      <c r="G209" s="37" t="s">
        <v>42</v>
      </c>
      <c r="H209" s="37">
        <v>24.499500000000001</v>
      </c>
      <c r="I209" s="37">
        <v>1.3658999999999999</v>
      </c>
      <c r="J209" s="37">
        <v>5.9999999999999995E-4</v>
      </c>
      <c r="K209" s="37">
        <v>789.96360000000004</v>
      </c>
      <c r="L209" s="37">
        <v>36.531500000000001</v>
      </c>
      <c r="M209" s="37">
        <v>2.06E-2</v>
      </c>
    </row>
    <row r="210" spans="2:13" x14ac:dyDescent="0.15">
      <c r="B210" s="37" t="s">
        <v>284</v>
      </c>
      <c r="C210" s="37" t="s">
        <v>756</v>
      </c>
      <c r="D210" s="37" t="s">
        <v>943</v>
      </c>
      <c r="E210" s="37" t="s">
        <v>9</v>
      </c>
      <c r="F210" s="37" t="s">
        <v>64</v>
      </c>
      <c r="G210" s="37" t="s">
        <v>42</v>
      </c>
      <c r="I210" s="37">
        <v>2.8000000000000001E-2</v>
      </c>
      <c r="L210" s="37">
        <v>0.80640000000000001</v>
      </c>
    </row>
    <row r="211" spans="2:13" x14ac:dyDescent="0.15">
      <c r="B211" s="37" t="s">
        <v>286</v>
      </c>
      <c r="C211" s="37" t="s">
        <v>757</v>
      </c>
      <c r="D211" s="37" t="s">
        <v>944</v>
      </c>
      <c r="E211" s="37" t="s">
        <v>9</v>
      </c>
      <c r="F211" s="37" t="s">
        <v>20</v>
      </c>
      <c r="G211" s="37" t="s">
        <v>42</v>
      </c>
      <c r="I211" s="37">
        <v>10.2052</v>
      </c>
      <c r="J211" s="37">
        <v>14.4321</v>
      </c>
      <c r="L211" s="37">
        <v>569.2527</v>
      </c>
      <c r="M211" s="37">
        <v>716.4248</v>
      </c>
    </row>
    <row r="212" spans="2:13" x14ac:dyDescent="0.15">
      <c r="B212" s="37" t="s">
        <v>290</v>
      </c>
      <c r="C212" s="37" t="s">
        <v>759</v>
      </c>
      <c r="D212" s="37" t="s">
        <v>945</v>
      </c>
      <c r="E212" s="37" t="s">
        <v>9</v>
      </c>
      <c r="F212" s="37" t="s">
        <v>10</v>
      </c>
      <c r="G212" s="37" t="s">
        <v>26</v>
      </c>
      <c r="H212" s="37">
        <v>1.1900000000000001E-2</v>
      </c>
      <c r="K212" s="37">
        <v>0.14000000000000001</v>
      </c>
    </row>
    <row r="213" spans="2:13" x14ac:dyDescent="0.15">
      <c r="B213" s="37" t="s">
        <v>293</v>
      </c>
      <c r="C213" s="37" t="s">
        <v>760</v>
      </c>
      <c r="D213" s="37" t="s">
        <v>946</v>
      </c>
      <c r="E213" s="37" t="s">
        <v>9</v>
      </c>
      <c r="F213" s="37" t="s">
        <v>20</v>
      </c>
      <c r="G213" s="37" t="s">
        <v>32</v>
      </c>
      <c r="J213" s="37">
        <v>0.69599999999999995</v>
      </c>
      <c r="M213" s="37">
        <v>11.551500000000001</v>
      </c>
    </row>
    <row r="214" spans="2:13" x14ac:dyDescent="0.15">
      <c r="B214" s="37" t="s">
        <v>294</v>
      </c>
      <c r="C214" s="37" t="s">
        <v>760</v>
      </c>
      <c r="D214" s="37" t="s">
        <v>946</v>
      </c>
      <c r="E214" s="37" t="s">
        <v>9</v>
      </c>
      <c r="F214" s="37" t="s">
        <v>20</v>
      </c>
      <c r="G214" s="37" t="s">
        <v>68</v>
      </c>
      <c r="H214" s="37">
        <v>0.33289999999999997</v>
      </c>
      <c r="I214" s="37">
        <v>2.7199999999999998E-2</v>
      </c>
      <c r="J214" s="37">
        <v>0.74419999999999997</v>
      </c>
      <c r="K214" s="37">
        <v>16.585699999999999</v>
      </c>
      <c r="L214" s="37">
        <v>2.2242999999999999</v>
      </c>
      <c r="M214" s="37">
        <v>24.0091</v>
      </c>
    </row>
    <row r="215" spans="2:13" x14ac:dyDescent="0.15">
      <c r="B215" s="37" t="s">
        <v>296</v>
      </c>
      <c r="C215" s="37" t="s">
        <v>761</v>
      </c>
      <c r="D215" s="37" t="s">
        <v>947</v>
      </c>
      <c r="E215" s="37" t="s">
        <v>9</v>
      </c>
      <c r="F215" s="37" t="s">
        <v>20</v>
      </c>
      <c r="G215" s="37" t="s">
        <v>24</v>
      </c>
      <c r="I215" s="37">
        <v>3.2099999999999997E-2</v>
      </c>
      <c r="J215" s="37">
        <v>0.19070000000000001</v>
      </c>
      <c r="L215" s="37">
        <v>1.7567999999999999</v>
      </c>
      <c r="M215" s="37">
        <v>7.8956</v>
      </c>
    </row>
    <row r="216" spans="2:13" x14ac:dyDescent="0.15">
      <c r="B216" s="37" t="s">
        <v>297</v>
      </c>
      <c r="C216" s="37" t="s">
        <v>761</v>
      </c>
      <c r="D216" s="37" t="s">
        <v>947</v>
      </c>
      <c r="E216" s="37" t="s">
        <v>9</v>
      </c>
      <c r="F216" s="37" t="s">
        <v>30</v>
      </c>
      <c r="G216" s="37" t="s">
        <v>103</v>
      </c>
      <c r="J216" s="37">
        <v>2.2185000000000001</v>
      </c>
      <c r="M216" s="37">
        <v>128.51750000000001</v>
      </c>
    </row>
    <row r="217" spans="2:13" x14ac:dyDescent="0.15">
      <c r="B217" s="37" t="s">
        <v>298</v>
      </c>
      <c r="C217" s="37" t="s">
        <v>761</v>
      </c>
      <c r="D217" s="37" t="s">
        <v>947</v>
      </c>
      <c r="E217" s="37" t="s">
        <v>9</v>
      </c>
      <c r="F217" s="37" t="s">
        <v>20</v>
      </c>
      <c r="G217" s="37" t="s">
        <v>103</v>
      </c>
      <c r="I217" s="37">
        <v>7.0191999999999997</v>
      </c>
      <c r="J217" s="37">
        <v>7.8216999999999999</v>
      </c>
      <c r="L217" s="37">
        <v>471.142</v>
      </c>
      <c r="M217" s="37">
        <v>503.7824</v>
      </c>
    </row>
    <row r="218" spans="2:13" x14ac:dyDescent="0.15">
      <c r="B218" s="37" t="s">
        <v>299</v>
      </c>
      <c r="C218" s="37" t="s">
        <v>761</v>
      </c>
      <c r="D218" s="37" t="s">
        <v>947</v>
      </c>
      <c r="E218" s="37" t="s">
        <v>9</v>
      </c>
      <c r="F218" s="37" t="s">
        <v>20</v>
      </c>
      <c r="G218" s="37" t="s">
        <v>42</v>
      </c>
      <c r="H218" s="37">
        <v>8.5007999999999999</v>
      </c>
      <c r="I218" s="37">
        <v>1.8512999999999999</v>
      </c>
      <c r="J218" s="37">
        <v>0.35020000000000001</v>
      </c>
      <c r="K218" s="37">
        <v>288.41750000000002</v>
      </c>
      <c r="L218" s="37">
        <v>66.691299999999998</v>
      </c>
      <c r="M218" s="37">
        <v>13.4161</v>
      </c>
    </row>
    <row r="219" spans="2:13" x14ac:dyDescent="0.15">
      <c r="B219" s="37" t="s">
        <v>300</v>
      </c>
      <c r="C219" s="37" t="s">
        <v>761</v>
      </c>
      <c r="D219" s="37" t="s">
        <v>947</v>
      </c>
      <c r="E219" s="37" t="s">
        <v>9</v>
      </c>
      <c r="F219" s="37" t="s">
        <v>20</v>
      </c>
      <c r="G219" s="37" t="s">
        <v>42</v>
      </c>
      <c r="H219" s="37">
        <v>32.951099999999997</v>
      </c>
      <c r="I219" s="37">
        <v>14.947100000000001</v>
      </c>
      <c r="J219" s="37">
        <v>4.2103999999999999</v>
      </c>
      <c r="K219" s="37">
        <v>1259.2874999999999</v>
      </c>
      <c r="L219" s="37">
        <v>556.85670000000005</v>
      </c>
      <c r="M219" s="37">
        <v>163.69149999999999</v>
      </c>
    </row>
    <row r="220" spans="2:13" x14ac:dyDescent="0.15">
      <c r="B220" s="37" t="s">
        <v>302</v>
      </c>
      <c r="C220" s="37" t="s">
        <v>762</v>
      </c>
      <c r="D220" s="37" t="s">
        <v>948</v>
      </c>
      <c r="E220" s="37" t="s">
        <v>9</v>
      </c>
      <c r="F220" s="37" t="s">
        <v>30</v>
      </c>
      <c r="G220" s="37" t="s">
        <v>34</v>
      </c>
      <c r="H220" s="37">
        <v>53.822000000000003</v>
      </c>
      <c r="I220" s="37">
        <v>66.983199999999997</v>
      </c>
      <c r="J220" s="37">
        <v>42.143000000000001</v>
      </c>
      <c r="K220" s="37">
        <v>1325.5655999999999</v>
      </c>
      <c r="L220" s="37">
        <v>1594.76</v>
      </c>
      <c r="M220" s="37">
        <v>1015.3249</v>
      </c>
    </row>
    <row r="221" spans="2:13" x14ac:dyDescent="0.15">
      <c r="B221" s="37" t="s">
        <v>303</v>
      </c>
      <c r="C221" s="37" t="s">
        <v>762</v>
      </c>
      <c r="D221" s="37" t="s">
        <v>948</v>
      </c>
      <c r="E221" s="37" t="s">
        <v>9</v>
      </c>
      <c r="F221" s="37" t="s">
        <v>30</v>
      </c>
      <c r="G221" s="37" t="s">
        <v>34</v>
      </c>
      <c r="H221" s="37">
        <v>81.760300000000001</v>
      </c>
      <c r="I221" s="37">
        <v>83.135000000000005</v>
      </c>
      <c r="J221" s="37">
        <v>53.412599999999998</v>
      </c>
      <c r="K221" s="37">
        <v>1959.0420999999999</v>
      </c>
      <c r="L221" s="37">
        <v>1973.6881000000001</v>
      </c>
      <c r="M221" s="37">
        <v>1284.8007</v>
      </c>
    </row>
    <row r="222" spans="2:13" x14ac:dyDescent="0.15">
      <c r="B222" s="37" t="s">
        <v>304</v>
      </c>
      <c r="C222" s="37" t="s">
        <v>762</v>
      </c>
      <c r="D222" s="37" t="s">
        <v>948</v>
      </c>
      <c r="E222" s="37" t="s">
        <v>9</v>
      </c>
      <c r="F222" s="37" t="s">
        <v>30</v>
      </c>
      <c r="G222" s="37" t="s">
        <v>34</v>
      </c>
      <c r="H222" s="37">
        <v>24.3629</v>
      </c>
      <c r="I222" s="37">
        <v>18.871200000000002</v>
      </c>
      <c r="J222" s="37">
        <v>0.95489999999999997</v>
      </c>
      <c r="K222" s="37">
        <v>571.42309999999998</v>
      </c>
      <c r="L222" s="37">
        <v>430.0342</v>
      </c>
      <c r="M222" s="37">
        <v>21.356300000000001</v>
      </c>
    </row>
    <row r="223" spans="2:13" x14ac:dyDescent="0.15">
      <c r="B223" s="37" t="s">
        <v>306</v>
      </c>
      <c r="C223" s="37" t="s">
        <v>762</v>
      </c>
      <c r="D223" s="37" t="s">
        <v>948</v>
      </c>
      <c r="E223" s="37" t="s">
        <v>9</v>
      </c>
      <c r="F223" s="37" t="s">
        <v>10</v>
      </c>
      <c r="G223" s="37" t="s">
        <v>34</v>
      </c>
      <c r="H223" s="37">
        <v>6.2572999999999999</v>
      </c>
      <c r="I223" s="37">
        <v>18.031600000000001</v>
      </c>
      <c r="J223" s="37">
        <v>4.2451999999999996</v>
      </c>
      <c r="K223" s="37">
        <v>140.29249999999999</v>
      </c>
      <c r="L223" s="37">
        <v>398.21929999999998</v>
      </c>
      <c r="M223" s="37">
        <v>95.220100000000002</v>
      </c>
    </row>
    <row r="224" spans="2:13" x14ac:dyDescent="0.15">
      <c r="B224" s="37" t="s">
        <v>307</v>
      </c>
      <c r="C224" s="37" t="s">
        <v>762</v>
      </c>
      <c r="D224" s="37" t="s">
        <v>948</v>
      </c>
      <c r="E224" s="37" t="s">
        <v>9</v>
      </c>
      <c r="F224" s="37" t="s">
        <v>20</v>
      </c>
      <c r="G224" s="37" t="s">
        <v>37</v>
      </c>
      <c r="J224" s="37">
        <v>0.16520000000000001</v>
      </c>
      <c r="M224" s="37">
        <v>4.4053000000000004</v>
      </c>
    </row>
    <row r="225" spans="2:13" x14ac:dyDescent="0.15">
      <c r="B225" s="37" t="s">
        <v>308</v>
      </c>
      <c r="C225" s="37" t="s">
        <v>762</v>
      </c>
      <c r="D225" s="37" t="s">
        <v>948</v>
      </c>
      <c r="E225" s="37" t="s">
        <v>9</v>
      </c>
      <c r="F225" s="37" t="s">
        <v>10</v>
      </c>
      <c r="G225" s="37" t="s">
        <v>37</v>
      </c>
      <c r="H225" s="37">
        <v>2.9600000000000001E-2</v>
      </c>
      <c r="K225" s="37">
        <v>0.8246</v>
      </c>
    </row>
    <row r="226" spans="2:13" x14ac:dyDescent="0.15">
      <c r="B226" s="37" t="s">
        <v>310</v>
      </c>
      <c r="C226" s="37" t="s">
        <v>762</v>
      </c>
      <c r="D226" s="37" t="s">
        <v>948</v>
      </c>
      <c r="E226" s="37" t="s">
        <v>9</v>
      </c>
      <c r="F226" s="37" t="s">
        <v>10</v>
      </c>
      <c r="G226" s="37" t="s">
        <v>42</v>
      </c>
      <c r="H226" s="37">
        <v>2.3472</v>
      </c>
      <c r="I226" s="37">
        <v>0.8044</v>
      </c>
      <c r="K226" s="37">
        <v>54.641800000000003</v>
      </c>
      <c r="L226" s="37">
        <v>24.183599999999998</v>
      </c>
    </row>
    <row r="227" spans="2:13" x14ac:dyDescent="0.15">
      <c r="B227" s="37" t="s">
        <v>312</v>
      </c>
      <c r="C227" s="37" t="s">
        <v>763</v>
      </c>
      <c r="D227" s="37" t="s">
        <v>949</v>
      </c>
      <c r="E227" s="37" t="s">
        <v>9</v>
      </c>
      <c r="F227" s="37" t="s">
        <v>30</v>
      </c>
      <c r="G227" s="37" t="s">
        <v>103</v>
      </c>
      <c r="H227" s="37">
        <v>5.9740000000000002</v>
      </c>
      <c r="K227" s="37">
        <v>416.80889999999999</v>
      </c>
    </row>
    <row r="228" spans="2:13" x14ac:dyDescent="0.15">
      <c r="B228" s="37" t="s">
        <v>313</v>
      </c>
      <c r="C228" s="37" t="s">
        <v>763</v>
      </c>
      <c r="D228" s="37" t="s">
        <v>949</v>
      </c>
      <c r="E228" s="37" t="s">
        <v>9</v>
      </c>
      <c r="F228" s="37" t="s">
        <v>20</v>
      </c>
      <c r="G228" s="37" t="s">
        <v>17</v>
      </c>
      <c r="H228" s="37">
        <v>0.1293</v>
      </c>
      <c r="I228" s="37">
        <v>8.2299999999999998E-2</v>
      </c>
      <c r="K228" s="37">
        <v>5.4459999999999997</v>
      </c>
      <c r="L228" s="37">
        <v>3.4649000000000001</v>
      </c>
    </row>
    <row r="229" spans="2:13" x14ac:dyDescent="0.15">
      <c r="B229" s="37" t="s">
        <v>315</v>
      </c>
      <c r="C229" s="37" t="s">
        <v>764</v>
      </c>
      <c r="D229" s="37" t="s">
        <v>950</v>
      </c>
      <c r="E229" s="37" t="s">
        <v>9</v>
      </c>
      <c r="F229" s="37" t="s">
        <v>30</v>
      </c>
      <c r="G229" s="37" t="s">
        <v>42</v>
      </c>
      <c r="H229" s="37">
        <v>11.181699999999999</v>
      </c>
      <c r="I229" s="37">
        <v>15.1816</v>
      </c>
      <c r="J229" s="37">
        <v>9.6165000000000003</v>
      </c>
      <c r="K229" s="37">
        <v>586.38080000000002</v>
      </c>
      <c r="L229" s="37">
        <v>752.94479999999999</v>
      </c>
      <c r="M229" s="37">
        <v>438.76389999999998</v>
      </c>
    </row>
    <row r="230" spans="2:13" x14ac:dyDescent="0.15">
      <c r="B230" s="37" t="s">
        <v>317</v>
      </c>
      <c r="C230" s="37" t="s">
        <v>765</v>
      </c>
      <c r="D230" s="37" t="s">
        <v>951</v>
      </c>
      <c r="E230" s="37" t="s">
        <v>9</v>
      </c>
      <c r="F230" s="37" t="s">
        <v>69</v>
      </c>
      <c r="G230" s="37" t="s">
        <v>88</v>
      </c>
      <c r="H230" s="37">
        <v>8.2699999999999996E-2</v>
      </c>
      <c r="I230" s="37">
        <v>4.5199999999999997E-2</v>
      </c>
      <c r="J230" s="37">
        <v>5.4999999999999997E-3</v>
      </c>
      <c r="K230" s="37">
        <v>0.35360000000000003</v>
      </c>
      <c r="L230" s="37">
        <v>0.2</v>
      </c>
      <c r="M230" s="37">
        <v>2.5000000000000001E-2</v>
      </c>
    </row>
    <row r="231" spans="2:13" x14ac:dyDescent="0.15">
      <c r="B231" s="37" t="s">
        <v>318</v>
      </c>
      <c r="C231" s="37" t="s">
        <v>765</v>
      </c>
      <c r="D231" s="37" t="s">
        <v>951</v>
      </c>
      <c r="E231" s="37" t="s">
        <v>9</v>
      </c>
      <c r="F231" s="37" t="s">
        <v>69</v>
      </c>
      <c r="G231" s="37" t="s">
        <v>88</v>
      </c>
      <c r="H231" s="37">
        <v>2.0510000000000002</v>
      </c>
      <c r="I231" s="37">
        <v>2.5941999999999998</v>
      </c>
      <c r="J231" s="37">
        <v>0.76219999999999999</v>
      </c>
      <c r="K231" s="37">
        <v>8.6088000000000005</v>
      </c>
      <c r="L231" s="37">
        <v>11.446400000000001</v>
      </c>
      <c r="M231" s="37">
        <v>3.6349999999999998</v>
      </c>
    </row>
    <row r="232" spans="2:13" x14ac:dyDescent="0.15">
      <c r="B232" s="37" t="s">
        <v>319</v>
      </c>
      <c r="C232" s="37" t="s">
        <v>765</v>
      </c>
      <c r="D232" s="37" t="s">
        <v>951</v>
      </c>
      <c r="E232" s="37" t="s">
        <v>9</v>
      </c>
      <c r="F232" s="37" t="s">
        <v>69</v>
      </c>
      <c r="G232" s="37" t="s">
        <v>15</v>
      </c>
      <c r="H232" s="37">
        <v>10.297499999999999</v>
      </c>
      <c r="I232" s="37">
        <v>4.8240999999999996</v>
      </c>
      <c r="J232" s="37">
        <v>4.976</v>
      </c>
      <c r="K232" s="37">
        <v>49.665700000000001</v>
      </c>
      <c r="L232" s="37">
        <v>27.7622</v>
      </c>
      <c r="M232" s="37">
        <v>22.308599999999998</v>
      </c>
    </row>
    <row r="233" spans="2:13" x14ac:dyDescent="0.15">
      <c r="B233" s="37" t="s">
        <v>320</v>
      </c>
      <c r="C233" s="37" t="s">
        <v>765</v>
      </c>
      <c r="D233" s="37" t="s">
        <v>951</v>
      </c>
      <c r="E233" s="37" t="s">
        <v>9</v>
      </c>
      <c r="F233" s="37" t="s">
        <v>69</v>
      </c>
      <c r="G233" s="37" t="s">
        <v>15</v>
      </c>
      <c r="H233" s="37">
        <v>0.2089</v>
      </c>
      <c r="K233" s="37">
        <v>1.25</v>
      </c>
    </row>
    <row r="234" spans="2:13" x14ac:dyDescent="0.15">
      <c r="B234" s="37" t="s">
        <v>321</v>
      </c>
      <c r="C234" s="37" t="s">
        <v>765</v>
      </c>
      <c r="D234" s="37" t="s">
        <v>951</v>
      </c>
      <c r="E234" s="37" t="s">
        <v>9</v>
      </c>
      <c r="F234" s="37" t="s">
        <v>10</v>
      </c>
      <c r="G234" s="37" t="s">
        <v>99</v>
      </c>
      <c r="J234" s="37">
        <v>0.18790000000000001</v>
      </c>
      <c r="M234" s="37">
        <v>1.0885</v>
      </c>
    </row>
    <row r="235" spans="2:13" x14ac:dyDescent="0.15">
      <c r="B235" s="37" t="s">
        <v>322</v>
      </c>
      <c r="C235" s="37" t="s">
        <v>765</v>
      </c>
      <c r="D235" s="37" t="s">
        <v>951</v>
      </c>
      <c r="E235" s="37" t="s">
        <v>9</v>
      </c>
      <c r="F235" s="37" t="s">
        <v>10</v>
      </c>
      <c r="G235" s="37" t="s">
        <v>103</v>
      </c>
      <c r="H235" s="37">
        <v>1.4366000000000001</v>
      </c>
      <c r="I235" s="37">
        <v>2.8525</v>
      </c>
      <c r="J235" s="37">
        <v>1.1071</v>
      </c>
      <c r="K235" s="37">
        <v>10.09</v>
      </c>
      <c r="L235" s="37">
        <v>20.329999999999998</v>
      </c>
      <c r="M235" s="37">
        <v>7.64</v>
      </c>
    </row>
    <row r="236" spans="2:13" x14ac:dyDescent="0.15">
      <c r="B236" s="37" t="s">
        <v>323</v>
      </c>
      <c r="C236" s="37" t="s">
        <v>765</v>
      </c>
      <c r="D236" s="37" t="s">
        <v>951</v>
      </c>
      <c r="E236" s="37" t="s">
        <v>9</v>
      </c>
      <c r="F236" s="37" t="s">
        <v>69</v>
      </c>
      <c r="G236" s="37" t="s">
        <v>103</v>
      </c>
      <c r="H236" s="37">
        <v>6.5038999999999998</v>
      </c>
      <c r="I236" s="37">
        <v>6.5046999999999997</v>
      </c>
      <c r="J236" s="37">
        <v>1.2238</v>
      </c>
      <c r="K236" s="37">
        <v>46.08</v>
      </c>
      <c r="L236" s="37">
        <v>47.101700000000001</v>
      </c>
      <c r="M236" s="37">
        <v>9.65</v>
      </c>
    </row>
    <row r="237" spans="2:13" x14ac:dyDescent="0.15">
      <c r="B237" s="37" t="s">
        <v>324</v>
      </c>
      <c r="C237" s="37" t="s">
        <v>765</v>
      </c>
      <c r="D237" s="37" t="s">
        <v>951</v>
      </c>
      <c r="E237" s="37" t="s">
        <v>9</v>
      </c>
      <c r="F237" s="37" t="s">
        <v>30</v>
      </c>
      <c r="G237" s="37" t="s">
        <v>103</v>
      </c>
      <c r="I237" s="37">
        <v>6.5199999999999994E-2</v>
      </c>
      <c r="L237" s="37">
        <v>0.35370000000000001</v>
      </c>
    </row>
    <row r="238" spans="2:13" x14ac:dyDescent="0.15">
      <c r="B238" s="37" t="s">
        <v>326</v>
      </c>
      <c r="C238" s="37" t="s">
        <v>766</v>
      </c>
      <c r="D238" s="37" t="s">
        <v>952</v>
      </c>
      <c r="E238" s="37" t="s">
        <v>9</v>
      </c>
      <c r="F238" s="37" t="s">
        <v>30</v>
      </c>
      <c r="G238" s="37" t="s">
        <v>17</v>
      </c>
      <c r="H238" s="37">
        <v>7.0000000000000001E-3</v>
      </c>
      <c r="K238" s="37">
        <v>0.08</v>
      </c>
    </row>
    <row r="239" spans="2:13" x14ac:dyDescent="0.15">
      <c r="B239" s="37" t="s">
        <v>328</v>
      </c>
      <c r="C239" s="37" t="s">
        <v>767</v>
      </c>
      <c r="D239" s="37" t="s">
        <v>953</v>
      </c>
      <c r="E239" s="37" t="s">
        <v>9</v>
      </c>
      <c r="F239" s="37" t="s">
        <v>30</v>
      </c>
      <c r="G239" s="37" t="s">
        <v>21</v>
      </c>
      <c r="J239" s="37">
        <v>0.80289999999999995</v>
      </c>
      <c r="M239" s="37">
        <v>36.833599999999997</v>
      </c>
    </row>
    <row r="240" spans="2:13" x14ac:dyDescent="0.15">
      <c r="B240" s="37" t="s">
        <v>329</v>
      </c>
      <c r="C240" s="37" t="s">
        <v>767</v>
      </c>
      <c r="D240" s="37" t="s">
        <v>953</v>
      </c>
      <c r="E240" s="37" t="s">
        <v>9</v>
      </c>
      <c r="F240" s="37" t="s">
        <v>20</v>
      </c>
      <c r="G240" s="37" t="s">
        <v>21</v>
      </c>
      <c r="H240" s="37">
        <v>9.9892000000000003</v>
      </c>
      <c r="I240" s="37">
        <v>8.1153999999999993</v>
      </c>
      <c r="J240" s="37">
        <v>3.5836999999999999</v>
      </c>
      <c r="K240" s="37">
        <v>492.51530000000002</v>
      </c>
      <c r="L240" s="37">
        <v>366.96510000000001</v>
      </c>
      <c r="M240" s="37">
        <v>145.6557</v>
      </c>
    </row>
    <row r="241" spans="2:13" x14ac:dyDescent="0.15">
      <c r="B241" s="37" t="s">
        <v>330</v>
      </c>
      <c r="C241" s="37" t="s">
        <v>767</v>
      </c>
      <c r="D241" s="37" t="s">
        <v>953</v>
      </c>
      <c r="E241" s="37" t="s">
        <v>9</v>
      </c>
      <c r="F241" s="37" t="s">
        <v>30</v>
      </c>
      <c r="G241" s="37" t="s">
        <v>21</v>
      </c>
      <c r="H241" s="37">
        <v>2.3199999999999998E-2</v>
      </c>
      <c r="I241" s="37">
        <v>2.375</v>
      </c>
      <c r="J241" s="37">
        <v>2.0299</v>
      </c>
      <c r="K241" s="37">
        <v>1.054</v>
      </c>
      <c r="L241" s="37">
        <v>113.97580000000001</v>
      </c>
      <c r="M241" s="37">
        <v>89.836200000000005</v>
      </c>
    </row>
    <row r="242" spans="2:13" x14ac:dyDescent="0.15">
      <c r="B242" s="37" t="s">
        <v>331</v>
      </c>
      <c r="C242" s="37" t="s">
        <v>767</v>
      </c>
      <c r="D242" s="37" t="s">
        <v>953</v>
      </c>
      <c r="E242" s="37" t="s">
        <v>9</v>
      </c>
      <c r="F242" s="37" t="s">
        <v>20</v>
      </c>
      <c r="G242" s="37" t="s">
        <v>21</v>
      </c>
      <c r="H242" s="37">
        <v>12.8912</v>
      </c>
      <c r="I242" s="37">
        <v>14.945399999999999</v>
      </c>
      <c r="J242" s="37">
        <v>2.4279000000000002</v>
      </c>
      <c r="K242" s="37">
        <v>607.44449999999995</v>
      </c>
      <c r="L242" s="37">
        <v>678.69550000000004</v>
      </c>
      <c r="M242" s="37">
        <v>103.8368</v>
      </c>
    </row>
    <row r="243" spans="2:13" x14ac:dyDescent="0.15">
      <c r="B243" s="37" t="s">
        <v>332</v>
      </c>
      <c r="C243" s="37" t="s">
        <v>767</v>
      </c>
      <c r="D243" s="37" t="s">
        <v>953</v>
      </c>
      <c r="E243" s="37" t="s">
        <v>9</v>
      </c>
      <c r="F243" s="37" t="s">
        <v>10</v>
      </c>
      <c r="G243" s="37" t="s">
        <v>21</v>
      </c>
      <c r="I243" s="37">
        <v>0.01</v>
      </c>
      <c r="J243" s="37">
        <v>1.5183</v>
      </c>
      <c r="L243" s="37">
        <v>0.48130000000000001</v>
      </c>
      <c r="M243" s="37">
        <v>68.4452</v>
      </c>
    </row>
    <row r="244" spans="2:13" x14ac:dyDescent="0.15">
      <c r="B244" s="37" t="s">
        <v>333</v>
      </c>
      <c r="C244" s="37" t="s">
        <v>767</v>
      </c>
      <c r="D244" s="37" t="s">
        <v>953</v>
      </c>
      <c r="E244" s="37" t="s">
        <v>9</v>
      </c>
      <c r="F244" s="37" t="s">
        <v>30</v>
      </c>
      <c r="G244" s="37" t="s">
        <v>21</v>
      </c>
      <c r="H244" s="37">
        <v>32.355400000000003</v>
      </c>
      <c r="I244" s="37">
        <v>38.555399999999999</v>
      </c>
      <c r="J244" s="37">
        <v>28.667999999999999</v>
      </c>
      <c r="K244" s="37">
        <v>1339.7692</v>
      </c>
      <c r="L244" s="37">
        <v>1517.8848</v>
      </c>
      <c r="M244" s="37">
        <v>1147.3356000000001</v>
      </c>
    </row>
    <row r="245" spans="2:13" x14ac:dyDescent="0.15">
      <c r="B245" s="37" t="s">
        <v>334</v>
      </c>
      <c r="C245" s="37" t="s">
        <v>767</v>
      </c>
      <c r="D245" s="37" t="s">
        <v>953</v>
      </c>
      <c r="E245" s="37" t="s">
        <v>9</v>
      </c>
      <c r="F245" s="37" t="s">
        <v>20</v>
      </c>
      <c r="G245" s="37" t="s">
        <v>24</v>
      </c>
      <c r="H245" s="37">
        <v>39.0503</v>
      </c>
      <c r="I245" s="37">
        <v>53.6008</v>
      </c>
      <c r="J245" s="37">
        <v>45.671900000000001</v>
      </c>
      <c r="K245" s="37">
        <v>2028.7261000000001</v>
      </c>
      <c r="L245" s="37">
        <v>2727.4971999999998</v>
      </c>
      <c r="M245" s="37">
        <v>2409.5587999999998</v>
      </c>
    </row>
    <row r="246" spans="2:13" x14ac:dyDescent="0.15">
      <c r="B246" s="37" t="s">
        <v>335</v>
      </c>
      <c r="C246" s="37" t="s">
        <v>767</v>
      </c>
      <c r="D246" s="37" t="s">
        <v>953</v>
      </c>
      <c r="E246" s="37" t="s">
        <v>9</v>
      </c>
      <c r="F246" s="37" t="s">
        <v>30</v>
      </c>
      <c r="G246" s="37" t="s">
        <v>24</v>
      </c>
      <c r="H246" s="37">
        <v>18.061</v>
      </c>
      <c r="I246" s="37">
        <v>20.3689</v>
      </c>
      <c r="J246" s="37">
        <v>25.3782</v>
      </c>
      <c r="K246" s="37">
        <v>997.27200000000005</v>
      </c>
      <c r="L246" s="37">
        <v>1129.9784999999999</v>
      </c>
      <c r="M246" s="37">
        <v>1401.0871999999999</v>
      </c>
    </row>
    <row r="247" spans="2:13" x14ac:dyDescent="0.15">
      <c r="B247" s="37" t="s">
        <v>336</v>
      </c>
      <c r="C247" s="37" t="s">
        <v>767</v>
      </c>
      <c r="D247" s="37" t="s">
        <v>953</v>
      </c>
      <c r="E247" s="37" t="s">
        <v>9</v>
      </c>
      <c r="F247" s="37" t="s">
        <v>20</v>
      </c>
      <c r="G247" s="37" t="s">
        <v>24</v>
      </c>
      <c r="H247" s="37">
        <v>60.256900000000002</v>
      </c>
      <c r="I247" s="37">
        <v>59.171300000000002</v>
      </c>
      <c r="J247" s="37">
        <v>46.391500000000001</v>
      </c>
      <c r="K247" s="37">
        <v>3003.9076</v>
      </c>
      <c r="L247" s="37">
        <v>2862.6754999999998</v>
      </c>
      <c r="M247" s="37">
        <v>2309.9086000000002</v>
      </c>
    </row>
    <row r="248" spans="2:13" x14ac:dyDescent="0.15">
      <c r="B248" s="37" t="s">
        <v>337</v>
      </c>
      <c r="C248" s="37" t="s">
        <v>767</v>
      </c>
      <c r="D248" s="37" t="s">
        <v>953</v>
      </c>
      <c r="E248" s="37" t="s">
        <v>9</v>
      </c>
      <c r="F248" s="37" t="s">
        <v>20</v>
      </c>
      <c r="G248" s="37" t="s">
        <v>24</v>
      </c>
      <c r="H248" s="37">
        <v>20.0168</v>
      </c>
      <c r="I248" s="37">
        <v>19.4117</v>
      </c>
      <c r="J248" s="37">
        <v>16.676400000000001</v>
      </c>
      <c r="K248" s="37">
        <v>1086.6414</v>
      </c>
      <c r="L248" s="37">
        <v>1089.1328000000001</v>
      </c>
      <c r="M248" s="37">
        <v>913.75469999999996</v>
      </c>
    </row>
    <row r="249" spans="2:13" x14ac:dyDescent="0.15">
      <c r="B249" s="37" t="s">
        <v>338</v>
      </c>
      <c r="C249" s="37" t="s">
        <v>767</v>
      </c>
      <c r="D249" s="37" t="s">
        <v>953</v>
      </c>
      <c r="E249" s="37" t="s">
        <v>9</v>
      </c>
      <c r="F249" s="37" t="s">
        <v>20</v>
      </c>
      <c r="G249" s="37" t="s">
        <v>24</v>
      </c>
      <c r="H249" s="37">
        <v>15.4658</v>
      </c>
      <c r="I249" s="37">
        <v>23.898299999999999</v>
      </c>
      <c r="J249" s="37">
        <v>20.8841</v>
      </c>
      <c r="K249" s="37">
        <v>835.59469999999999</v>
      </c>
      <c r="L249" s="37">
        <v>1304.8905999999999</v>
      </c>
      <c r="M249" s="37">
        <v>1122.8086000000001</v>
      </c>
    </row>
    <row r="250" spans="2:13" x14ac:dyDescent="0.15">
      <c r="B250" s="37" t="s">
        <v>339</v>
      </c>
      <c r="C250" s="37" t="s">
        <v>767</v>
      </c>
      <c r="D250" s="37" t="s">
        <v>953</v>
      </c>
      <c r="E250" s="37" t="s">
        <v>9</v>
      </c>
      <c r="F250" s="37" t="s">
        <v>10</v>
      </c>
      <c r="G250" s="37" t="s">
        <v>24</v>
      </c>
      <c r="H250" s="37">
        <v>17.192699999999999</v>
      </c>
      <c r="I250" s="37">
        <v>14.837400000000001</v>
      </c>
      <c r="J250" s="37">
        <v>10.0755</v>
      </c>
      <c r="K250" s="37">
        <v>845.18690000000004</v>
      </c>
      <c r="L250" s="37">
        <v>818.97209999999995</v>
      </c>
      <c r="M250" s="37">
        <v>554.23329999999999</v>
      </c>
    </row>
    <row r="251" spans="2:13" x14ac:dyDescent="0.15">
      <c r="B251" s="37" t="s">
        <v>340</v>
      </c>
      <c r="C251" s="37" t="s">
        <v>767</v>
      </c>
      <c r="D251" s="37" t="s">
        <v>953</v>
      </c>
      <c r="E251" s="37" t="s">
        <v>9</v>
      </c>
      <c r="F251" s="37" t="s">
        <v>30</v>
      </c>
      <c r="G251" s="37" t="s">
        <v>24</v>
      </c>
      <c r="H251" s="37">
        <v>12.4558</v>
      </c>
      <c r="I251" s="37">
        <v>19.5045</v>
      </c>
      <c r="J251" s="37">
        <v>19.680399999999999</v>
      </c>
      <c r="K251" s="37">
        <v>695.70420000000001</v>
      </c>
      <c r="L251" s="37">
        <v>1080.8305</v>
      </c>
      <c r="M251" s="37">
        <v>1068.2409</v>
      </c>
    </row>
    <row r="252" spans="2:13" x14ac:dyDescent="0.15">
      <c r="B252" s="37" t="s">
        <v>341</v>
      </c>
      <c r="C252" s="37" t="s">
        <v>767</v>
      </c>
      <c r="D252" s="37" t="s">
        <v>953</v>
      </c>
      <c r="E252" s="37" t="s">
        <v>9</v>
      </c>
      <c r="F252" s="37" t="s">
        <v>30</v>
      </c>
      <c r="G252" s="37" t="s">
        <v>24</v>
      </c>
      <c r="H252" s="37">
        <v>29.7578</v>
      </c>
      <c r="I252" s="37">
        <v>42.059199999999997</v>
      </c>
      <c r="J252" s="37">
        <v>37.9373</v>
      </c>
      <c r="K252" s="37">
        <v>1513.1635000000001</v>
      </c>
      <c r="L252" s="37">
        <v>2139.8314999999998</v>
      </c>
      <c r="M252" s="37">
        <v>1997.7666999999999</v>
      </c>
    </row>
    <row r="253" spans="2:13" x14ac:dyDescent="0.15">
      <c r="B253" s="37" t="s">
        <v>342</v>
      </c>
      <c r="C253" s="37" t="s">
        <v>767</v>
      </c>
      <c r="D253" s="37" t="s">
        <v>953</v>
      </c>
      <c r="E253" s="37" t="s">
        <v>9</v>
      </c>
      <c r="F253" s="37" t="s">
        <v>20</v>
      </c>
      <c r="G253" s="37" t="s">
        <v>11</v>
      </c>
      <c r="H253" s="37">
        <v>12.4033</v>
      </c>
      <c r="I253" s="37">
        <v>7.0781999999999998</v>
      </c>
      <c r="J253" s="37">
        <v>1.7199</v>
      </c>
      <c r="K253" s="37">
        <v>294.48759999999999</v>
      </c>
      <c r="L253" s="37">
        <v>150.97989999999999</v>
      </c>
      <c r="M253" s="37">
        <v>36.068199999999997</v>
      </c>
    </row>
    <row r="254" spans="2:13" x14ac:dyDescent="0.15">
      <c r="B254" s="37" t="s">
        <v>343</v>
      </c>
      <c r="C254" s="37" t="s">
        <v>767</v>
      </c>
      <c r="D254" s="37" t="s">
        <v>953</v>
      </c>
      <c r="E254" s="37" t="s">
        <v>9</v>
      </c>
      <c r="F254" s="37" t="s">
        <v>30</v>
      </c>
      <c r="G254" s="37" t="s">
        <v>32</v>
      </c>
      <c r="H254" s="37">
        <v>1.6268</v>
      </c>
      <c r="K254" s="37">
        <v>65.1297</v>
      </c>
    </row>
    <row r="255" spans="2:13" x14ac:dyDescent="0.15">
      <c r="B255" s="37" t="s">
        <v>344</v>
      </c>
      <c r="C255" s="37" t="s">
        <v>767</v>
      </c>
      <c r="D255" s="37" t="s">
        <v>953</v>
      </c>
      <c r="E255" s="37" t="s">
        <v>9</v>
      </c>
      <c r="F255" s="37" t="s">
        <v>30</v>
      </c>
      <c r="G255" s="37" t="s">
        <v>32</v>
      </c>
      <c r="H255" s="37">
        <v>2.5358999999999998</v>
      </c>
      <c r="K255" s="37">
        <v>101.7274</v>
      </c>
    </row>
    <row r="256" spans="2:13" x14ac:dyDescent="0.15">
      <c r="B256" s="37" t="s">
        <v>345</v>
      </c>
      <c r="C256" s="37" t="s">
        <v>767</v>
      </c>
      <c r="D256" s="37" t="s">
        <v>953</v>
      </c>
      <c r="E256" s="37" t="s">
        <v>9</v>
      </c>
      <c r="F256" s="37" t="s">
        <v>10</v>
      </c>
      <c r="G256" s="37" t="s">
        <v>99</v>
      </c>
      <c r="J256" s="37">
        <v>3.6318999999999999</v>
      </c>
      <c r="M256" s="37">
        <v>71.160700000000006</v>
      </c>
    </row>
    <row r="257" spans="2:13" x14ac:dyDescent="0.15">
      <c r="B257" s="37" t="s">
        <v>346</v>
      </c>
      <c r="C257" s="37" t="s">
        <v>767</v>
      </c>
      <c r="D257" s="37" t="s">
        <v>953</v>
      </c>
      <c r="E257" s="37" t="s">
        <v>9</v>
      </c>
      <c r="F257" s="37" t="s">
        <v>10</v>
      </c>
      <c r="G257" s="37" t="s">
        <v>42</v>
      </c>
      <c r="H257" s="37">
        <v>17.9986</v>
      </c>
      <c r="I257" s="37">
        <v>13.0489</v>
      </c>
      <c r="J257" s="37">
        <v>10.643000000000001</v>
      </c>
      <c r="K257" s="37">
        <v>650.62580000000003</v>
      </c>
      <c r="L257" s="37">
        <v>424.79559999999998</v>
      </c>
      <c r="M257" s="37">
        <v>323.3997</v>
      </c>
    </row>
    <row r="258" spans="2:13" x14ac:dyDescent="0.15">
      <c r="B258" s="37" t="s">
        <v>347</v>
      </c>
      <c r="C258" s="37" t="s">
        <v>767</v>
      </c>
      <c r="D258" s="37" t="s">
        <v>953</v>
      </c>
      <c r="E258" s="37" t="s">
        <v>9</v>
      </c>
      <c r="F258" s="37" t="s">
        <v>64</v>
      </c>
      <c r="G258" s="37" t="s">
        <v>42</v>
      </c>
      <c r="H258" s="37">
        <v>18.099399999999999</v>
      </c>
      <c r="I258" s="37">
        <v>12.3561</v>
      </c>
      <c r="J258" s="37">
        <v>12.3432</v>
      </c>
      <c r="K258" s="37">
        <v>1018.4675999999999</v>
      </c>
      <c r="L258" s="37">
        <v>683.55870000000004</v>
      </c>
      <c r="M258" s="37">
        <v>606.59050000000002</v>
      </c>
    </row>
    <row r="259" spans="2:13" x14ac:dyDescent="0.15">
      <c r="B259" s="37" t="s">
        <v>348</v>
      </c>
      <c r="C259" s="37" t="s">
        <v>767</v>
      </c>
      <c r="D259" s="37" t="s">
        <v>953</v>
      </c>
      <c r="E259" s="37" t="s">
        <v>9</v>
      </c>
      <c r="F259" s="37" t="s">
        <v>10</v>
      </c>
      <c r="G259" s="37" t="s">
        <v>42</v>
      </c>
      <c r="H259" s="37">
        <v>13.9643</v>
      </c>
      <c r="I259" s="37">
        <v>11.9328</v>
      </c>
      <c r="J259" s="37">
        <v>7.4202000000000004</v>
      </c>
      <c r="K259" s="37">
        <v>510.25119999999998</v>
      </c>
      <c r="L259" s="37">
        <v>382.31479999999999</v>
      </c>
      <c r="M259" s="37">
        <v>215.15559999999999</v>
      </c>
    </row>
    <row r="260" spans="2:13" x14ac:dyDescent="0.15">
      <c r="B260" s="37" t="s">
        <v>349</v>
      </c>
      <c r="C260" s="37" t="s">
        <v>767</v>
      </c>
      <c r="D260" s="37" t="s">
        <v>953</v>
      </c>
      <c r="E260" s="37" t="s">
        <v>9</v>
      </c>
      <c r="F260" s="37" t="s">
        <v>20</v>
      </c>
      <c r="G260" s="37" t="s">
        <v>42</v>
      </c>
      <c r="I260" s="37">
        <v>0.56559999999999999</v>
      </c>
      <c r="J260" s="37">
        <v>0.19719999999999999</v>
      </c>
      <c r="L260" s="37">
        <v>6.4855</v>
      </c>
      <c r="M260" s="37">
        <v>8.6998999999999995</v>
      </c>
    </row>
    <row r="261" spans="2:13" x14ac:dyDescent="0.15">
      <c r="B261" s="37" t="s">
        <v>350</v>
      </c>
      <c r="C261" s="37" t="s">
        <v>767</v>
      </c>
      <c r="D261" s="37" t="s">
        <v>953</v>
      </c>
      <c r="E261" s="37" t="s">
        <v>9</v>
      </c>
      <c r="F261" s="37" t="s">
        <v>20</v>
      </c>
      <c r="G261" s="37" t="s">
        <v>42</v>
      </c>
      <c r="H261" s="37">
        <v>11.936500000000001</v>
      </c>
      <c r="I261" s="37">
        <v>11.3424</v>
      </c>
      <c r="J261" s="37">
        <v>2.8279999999999998</v>
      </c>
      <c r="K261" s="37">
        <v>494.98500000000001</v>
      </c>
      <c r="L261" s="37">
        <v>456.52679999999998</v>
      </c>
      <c r="M261" s="37">
        <v>127.90179999999999</v>
      </c>
    </row>
    <row r="262" spans="2:13" x14ac:dyDescent="0.15">
      <c r="B262" s="37" t="s">
        <v>351</v>
      </c>
      <c r="C262" s="37" t="s">
        <v>767</v>
      </c>
      <c r="D262" s="37" t="s">
        <v>953</v>
      </c>
      <c r="E262" s="37" t="s">
        <v>9</v>
      </c>
      <c r="F262" s="37" t="s">
        <v>30</v>
      </c>
      <c r="G262" s="37" t="s">
        <v>42</v>
      </c>
      <c r="H262" s="37">
        <v>16.799600000000002</v>
      </c>
      <c r="I262" s="37">
        <v>11.79</v>
      </c>
      <c r="J262" s="37">
        <v>3.1292</v>
      </c>
      <c r="K262" s="37">
        <v>633.09360000000004</v>
      </c>
      <c r="L262" s="37">
        <v>491.60489999999999</v>
      </c>
      <c r="M262" s="37">
        <v>123.1259</v>
      </c>
    </row>
    <row r="263" spans="2:13" x14ac:dyDescent="0.15">
      <c r="B263" s="37" t="s">
        <v>352</v>
      </c>
      <c r="C263" s="37" t="s">
        <v>767</v>
      </c>
      <c r="D263" s="37" t="s">
        <v>953</v>
      </c>
      <c r="E263" s="37" t="s">
        <v>9</v>
      </c>
      <c r="F263" s="37" t="s">
        <v>20</v>
      </c>
      <c r="G263" s="37" t="s">
        <v>42</v>
      </c>
      <c r="H263" s="37">
        <v>15.0557</v>
      </c>
      <c r="I263" s="37">
        <v>9.7439</v>
      </c>
      <c r="J263" s="37">
        <v>7.3936000000000002</v>
      </c>
      <c r="K263" s="37">
        <v>945.80409999999995</v>
      </c>
      <c r="L263" s="37">
        <v>583.28309999999999</v>
      </c>
      <c r="M263" s="37">
        <v>424.78879999999998</v>
      </c>
    </row>
    <row r="264" spans="2:13" x14ac:dyDescent="0.15">
      <c r="B264" s="37" t="s">
        <v>353</v>
      </c>
      <c r="C264" s="37" t="s">
        <v>767</v>
      </c>
      <c r="D264" s="37" t="s">
        <v>953</v>
      </c>
      <c r="E264" s="37" t="s">
        <v>9</v>
      </c>
      <c r="F264" s="37" t="s">
        <v>20</v>
      </c>
      <c r="G264" s="37" t="s">
        <v>42</v>
      </c>
      <c r="H264" s="37">
        <v>2.5228000000000002</v>
      </c>
      <c r="K264" s="37">
        <v>102.04300000000001</v>
      </c>
    </row>
    <row r="265" spans="2:13" x14ac:dyDescent="0.15">
      <c r="B265" s="37" t="s">
        <v>354</v>
      </c>
      <c r="C265" s="37" t="s">
        <v>767</v>
      </c>
      <c r="D265" s="37" t="s">
        <v>953</v>
      </c>
      <c r="E265" s="37" t="s">
        <v>9</v>
      </c>
      <c r="F265" s="37" t="s">
        <v>30</v>
      </c>
      <c r="G265" s="37" t="s">
        <v>17</v>
      </c>
      <c r="H265" s="37">
        <v>5.8501000000000003</v>
      </c>
      <c r="I265" s="37">
        <v>3.1604999999999999</v>
      </c>
      <c r="J265" s="37">
        <v>1.1102000000000001</v>
      </c>
      <c r="K265" s="37">
        <v>279.7971</v>
      </c>
      <c r="L265" s="37">
        <v>133.69110000000001</v>
      </c>
      <c r="M265" s="37">
        <v>49.716799999999999</v>
      </c>
    </row>
    <row r="266" spans="2:13" x14ac:dyDescent="0.15">
      <c r="B266" s="37" t="s">
        <v>355</v>
      </c>
      <c r="C266" s="37" t="s">
        <v>767</v>
      </c>
      <c r="D266" s="37" t="s">
        <v>953</v>
      </c>
      <c r="E266" s="37" t="s">
        <v>9</v>
      </c>
      <c r="F266" s="37" t="s">
        <v>10</v>
      </c>
      <c r="G266" s="37" t="s">
        <v>17</v>
      </c>
      <c r="H266" s="37">
        <v>3.5649999999999999</v>
      </c>
      <c r="I266" s="37">
        <v>3.9624000000000001</v>
      </c>
      <c r="J266" s="37">
        <v>3.0468999999999999</v>
      </c>
      <c r="K266" s="37">
        <v>186.07509999999999</v>
      </c>
      <c r="L266" s="37">
        <v>188.92570000000001</v>
      </c>
      <c r="M266" s="37">
        <v>146.31370000000001</v>
      </c>
    </row>
    <row r="267" spans="2:13" x14ac:dyDescent="0.15">
      <c r="B267" s="37" t="s">
        <v>356</v>
      </c>
      <c r="C267" s="37" t="s">
        <v>767</v>
      </c>
      <c r="D267" s="37" t="s">
        <v>953</v>
      </c>
      <c r="E267" s="37" t="s">
        <v>9</v>
      </c>
      <c r="F267" s="37" t="s">
        <v>30</v>
      </c>
      <c r="G267" s="37" t="s">
        <v>17</v>
      </c>
      <c r="H267" s="37">
        <v>4.5880999999999998</v>
      </c>
      <c r="I267" s="37">
        <v>5.0932000000000004</v>
      </c>
      <c r="J267" s="37">
        <v>5.0259</v>
      </c>
      <c r="K267" s="37">
        <v>237.0685</v>
      </c>
      <c r="L267" s="37">
        <v>259.80410000000001</v>
      </c>
      <c r="M267" s="37">
        <v>248.8639</v>
      </c>
    </row>
    <row r="268" spans="2:13" x14ac:dyDescent="0.15">
      <c r="B268" s="37" t="s">
        <v>357</v>
      </c>
      <c r="C268" s="37" t="s">
        <v>767</v>
      </c>
      <c r="D268" s="37" t="s">
        <v>953</v>
      </c>
      <c r="E268" s="37" t="s">
        <v>9</v>
      </c>
      <c r="F268" s="37" t="s">
        <v>10</v>
      </c>
      <c r="G268" s="37" t="s">
        <v>358</v>
      </c>
      <c r="I268" s="37">
        <v>7.0000000000000001E-3</v>
      </c>
      <c r="L268" s="37">
        <v>0.32779999999999998</v>
      </c>
    </row>
    <row r="269" spans="2:13" x14ac:dyDescent="0.15">
      <c r="B269" s="37" t="s">
        <v>360</v>
      </c>
      <c r="C269" s="37" t="s">
        <v>767</v>
      </c>
      <c r="D269" s="37" t="s">
        <v>954</v>
      </c>
      <c r="E269" s="37" t="s">
        <v>9</v>
      </c>
      <c r="F269" s="37" t="s">
        <v>20</v>
      </c>
      <c r="G269" s="37" t="s">
        <v>24</v>
      </c>
      <c r="H269" s="37">
        <v>3.0200000000000001E-2</v>
      </c>
      <c r="I269" s="37">
        <v>2.0104000000000002</v>
      </c>
      <c r="J269" s="37">
        <v>1.0045999999999999</v>
      </c>
      <c r="K269" s="37">
        <v>1.4571000000000001</v>
      </c>
      <c r="L269" s="37">
        <v>118.0438</v>
      </c>
      <c r="M269" s="37">
        <v>56.873399999999997</v>
      </c>
    </row>
    <row r="270" spans="2:13" x14ac:dyDescent="0.15">
      <c r="B270" s="37" t="s">
        <v>362</v>
      </c>
      <c r="C270" s="37" t="s">
        <v>767</v>
      </c>
      <c r="D270" s="37" t="s">
        <v>955</v>
      </c>
      <c r="E270" s="37" t="s">
        <v>9</v>
      </c>
      <c r="F270" s="37" t="s">
        <v>10</v>
      </c>
      <c r="G270" s="37" t="s">
        <v>42</v>
      </c>
      <c r="H270" s="37">
        <v>0.1913</v>
      </c>
      <c r="I270" s="37">
        <v>0.55200000000000005</v>
      </c>
      <c r="J270" s="37">
        <v>4.3700000000000003E-2</v>
      </c>
      <c r="K270" s="37">
        <v>6.9211999999999998</v>
      </c>
      <c r="L270" s="37">
        <v>19.9695</v>
      </c>
      <c r="M270" s="37">
        <v>1.2094</v>
      </c>
    </row>
    <row r="271" spans="2:13" x14ac:dyDescent="0.15">
      <c r="B271" s="37" t="s">
        <v>365</v>
      </c>
      <c r="C271" s="37" t="s">
        <v>768</v>
      </c>
      <c r="D271" s="37" t="s">
        <v>956</v>
      </c>
      <c r="E271" s="37" t="s">
        <v>9</v>
      </c>
      <c r="F271" s="37" t="s">
        <v>20</v>
      </c>
      <c r="G271" s="37" t="s">
        <v>32</v>
      </c>
      <c r="H271" s="37">
        <v>2.6700000000000002E-2</v>
      </c>
      <c r="I271" s="37">
        <v>6.6E-3</v>
      </c>
      <c r="K271" s="37">
        <v>1.3361000000000001</v>
      </c>
      <c r="L271" s="37">
        <v>0.32919999999999999</v>
      </c>
    </row>
    <row r="272" spans="2:13" x14ac:dyDescent="0.15">
      <c r="B272" s="37" t="s">
        <v>366</v>
      </c>
      <c r="C272" s="37" t="s">
        <v>768</v>
      </c>
      <c r="D272" s="37" t="s">
        <v>956</v>
      </c>
      <c r="E272" s="37" t="s">
        <v>9</v>
      </c>
      <c r="F272" s="37" t="s">
        <v>64</v>
      </c>
      <c r="G272" s="37" t="s">
        <v>68</v>
      </c>
      <c r="H272" s="37">
        <v>6.93E-2</v>
      </c>
      <c r="I272" s="37">
        <v>0.19889999999999999</v>
      </c>
      <c r="K272" s="37">
        <v>3.0247000000000002</v>
      </c>
      <c r="L272" s="37">
        <v>8.6912000000000003</v>
      </c>
    </row>
    <row r="273" spans="2:13" x14ac:dyDescent="0.15">
      <c r="B273" s="37" t="s">
        <v>367</v>
      </c>
      <c r="C273" s="37" t="s">
        <v>768</v>
      </c>
      <c r="D273" s="37" t="s">
        <v>956</v>
      </c>
      <c r="E273" s="37" t="s">
        <v>9</v>
      </c>
      <c r="F273" s="37" t="s">
        <v>64</v>
      </c>
      <c r="G273" s="37" t="s">
        <v>68</v>
      </c>
      <c r="H273" s="37">
        <v>7.6300000000000007E-2</v>
      </c>
      <c r="I273" s="37">
        <v>0.42759999999999998</v>
      </c>
      <c r="J273" s="37">
        <v>0.15670000000000001</v>
      </c>
      <c r="K273" s="37">
        <v>3.4260000000000002</v>
      </c>
      <c r="L273" s="37">
        <v>18.685099999999998</v>
      </c>
      <c r="M273" s="37">
        <v>6.8449999999999998</v>
      </c>
    </row>
    <row r="274" spans="2:13" x14ac:dyDescent="0.15">
      <c r="B274" s="37" t="s">
        <v>369</v>
      </c>
      <c r="C274" s="37" t="s">
        <v>769</v>
      </c>
      <c r="D274" s="37" t="s">
        <v>957</v>
      </c>
      <c r="E274" s="37" t="s">
        <v>9</v>
      </c>
      <c r="F274" s="37" t="s">
        <v>10</v>
      </c>
      <c r="G274" s="37" t="s">
        <v>37</v>
      </c>
      <c r="H274" s="37">
        <v>13.539</v>
      </c>
      <c r="I274" s="37">
        <v>14.939299999999999</v>
      </c>
      <c r="J274" s="37">
        <v>5.9192</v>
      </c>
      <c r="K274" s="37">
        <v>399.25150000000002</v>
      </c>
      <c r="L274" s="37">
        <v>471.38619999999997</v>
      </c>
      <c r="M274" s="37">
        <v>172.6644</v>
      </c>
    </row>
    <row r="275" spans="2:13" x14ac:dyDescent="0.15">
      <c r="B275" s="37" t="s">
        <v>370</v>
      </c>
      <c r="C275" s="37" t="s">
        <v>769</v>
      </c>
      <c r="D275" s="37" t="s">
        <v>957</v>
      </c>
      <c r="E275" s="37" t="s">
        <v>9</v>
      </c>
      <c r="F275" s="37" t="s">
        <v>10</v>
      </c>
      <c r="G275" s="37" t="s">
        <v>37</v>
      </c>
      <c r="H275" s="37">
        <v>9.7232000000000003</v>
      </c>
      <c r="I275" s="37">
        <v>14.417199999999999</v>
      </c>
      <c r="J275" s="37">
        <v>5.9874999999999998</v>
      </c>
      <c r="K275" s="37">
        <v>300.88780000000003</v>
      </c>
      <c r="L275" s="37">
        <v>488.67129999999997</v>
      </c>
      <c r="M275" s="37">
        <v>199.4579</v>
      </c>
    </row>
    <row r="276" spans="2:13" x14ac:dyDescent="0.15">
      <c r="B276" s="37" t="s">
        <v>371</v>
      </c>
      <c r="C276" s="37" t="s">
        <v>769</v>
      </c>
      <c r="D276" s="37" t="s">
        <v>957</v>
      </c>
      <c r="E276" s="37" t="s">
        <v>9</v>
      </c>
      <c r="F276" s="37" t="s">
        <v>20</v>
      </c>
      <c r="G276" s="37" t="s">
        <v>42</v>
      </c>
      <c r="H276" s="37">
        <v>0.4834</v>
      </c>
      <c r="K276" s="37">
        <v>12.901899999999999</v>
      </c>
    </row>
    <row r="277" spans="2:13" x14ac:dyDescent="0.15">
      <c r="B277" s="37" t="s">
        <v>373</v>
      </c>
      <c r="C277" s="37" t="s">
        <v>770</v>
      </c>
      <c r="D277" s="37" t="s">
        <v>958</v>
      </c>
      <c r="E277" s="37" t="s">
        <v>9</v>
      </c>
      <c r="F277" s="37" t="s">
        <v>64</v>
      </c>
      <c r="G277" s="37" t="s">
        <v>99</v>
      </c>
      <c r="H277" s="37">
        <v>0.13550000000000001</v>
      </c>
      <c r="K277" s="37">
        <v>3.2519</v>
      </c>
    </row>
    <row r="278" spans="2:13" x14ac:dyDescent="0.15">
      <c r="B278" s="37" t="s">
        <v>375</v>
      </c>
      <c r="C278" s="37" t="s">
        <v>771</v>
      </c>
      <c r="D278" s="37" t="s">
        <v>959</v>
      </c>
      <c r="E278" s="37" t="s">
        <v>9</v>
      </c>
      <c r="F278" s="37" t="s">
        <v>249</v>
      </c>
      <c r="G278" s="37" t="s">
        <v>376</v>
      </c>
      <c r="I278" s="37">
        <v>2.3E-3</v>
      </c>
      <c r="L278" s="37">
        <v>4.8000000000000001E-2</v>
      </c>
    </row>
    <row r="279" spans="2:13" x14ac:dyDescent="0.15">
      <c r="B279" s="37" t="s">
        <v>377</v>
      </c>
      <c r="C279" s="37" t="s">
        <v>771</v>
      </c>
      <c r="D279" s="37" t="s">
        <v>959</v>
      </c>
      <c r="E279" s="37" t="s">
        <v>9</v>
      </c>
      <c r="F279" s="37" t="s">
        <v>249</v>
      </c>
      <c r="G279" s="37" t="s">
        <v>376</v>
      </c>
      <c r="H279" s="37">
        <v>3.7978999999999998</v>
      </c>
      <c r="I279" s="37">
        <v>0.23119999999999999</v>
      </c>
      <c r="J279" s="37">
        <v>5.57E-2</v>
      </c>
      <c r="K279" s="37">
        <v>45.909399999999998</v>
      </c>
      <c r="L279" s="37">
        <v>3.0430999999999999</v>
      </c>
      <c r="M279" s="37">
        <v>0.74270000000000003</v>
      </c>
    </row>
    <row r="280" spans="2:13" x14ac:dyDescent="0.15">
      <c r="B280" s="37" t="s">
        <v>378</v>
      </c>
      <c r="C280" s="37" t="s">
        <v>771</v>
      </c>
      <c r="D280" s="37" t="s">
        <v>959</v>
      </c>
      <c r="E280" s="37" t="s">
        <v>9</v>
      </c>
      <c r="F280" s="37" t="s">
        <v>249</v>
      </c>
      <c r="G280" s="37" t="s">
        <v>376</v>
      </c>
      <c r="H280" s="37">
        <v>10.1713</v>
      </c>
      <c r="I280" s="37">
        <v>1.4034</v>
      </c>
      <c r="J280" s="37">
        <v>0.79169999999999996</v>
      </c>
      <c r="K280" s="37">
        <v>191.46350000000001</v>
      </c>
      <c r="L280" s="37">
        <v>25.065200000000001</v>
      </c>
      <c r="M280" s="37">
        <v>12.493499999999999</v>
      </c>
    </row>
    <row r="281" spans="2:13" x14ac:dyDescent="0.15">
      <c r="B281" s="37" t="s">
        <v>379</v>
      </c>
      <c r="C281" s="37" t="s">
        <v>771</v>
      </c>
      <c r="D281" s="37" t="s">
        <v>959</v>
      </c>
      <c r="E281" s="37" t="s">
        <v>9</v>
      </c>
      <c r="F281" s="37" t="s">
        <v>249</v>
      </c>
      <c r="G281" s="37" t="s">
        <v>11</v>
      </c>
      <c r="H281" s="37">
        <v>8.9099999999999999E-2</v>
      </c>
      <c r="K281" s="37">
        <v>1.4943</v>
      </c>
    </row>
    <row r="282" spans="2:13" x14ac:dyDescent="0.15">
      <c r="B282" s="37" t="s">
        <v>380</v>
      </c>
      <c r="C282" s="37" t="s">
        <v>771</v>
      </c>
      <c r="D282" s="37" t="s">
        <v>959</v>
      </c>
      <c r="E282" s="37" t="s">
        <v>9</v>
      </c>
      <c r="F282" s="37" t="s">
        <v>10</v>
      </c>
      <c r="G282" s="37" t="s">
        <v>123</v>
      </c>
      <c r="H282" s="37">
        <v>16.7622</v>
      </c>
      <c r="I282" s="37">
        <v>54.880099999999999</v>
      </c>
      <c r="J282" s="37">
        <v>30.8141</v>
      </c>
      <c r="K282" s="37">
        <v>558.82709999999997</v>
      </c>
      <c r="L282" s="37">
        <v>1712.2448999999999</v>
      </c>
      <c r="M282" s="37">
        <v>842.72770000000003</v>
      </c>
    </row>
    <row r="283" spans="2:13" x14ac:dyDescent="0.15">
      <c r="B283" s="37" t="s">
        <v>381</v>
      </c>
      <c r="C283" s="37" t="s">
        <v>771</v>
      </c>
      <c r="D283" s="37" t="s">
        <v>959</v>
      </c>
      <c r="E283" s="37" t="s">
        <v>9</v>
      </c>
      <c r="F283" s="37" t="s">
        <v>10</v>
      </c>
      <c r="G283" s="37" t="s">
        <v>123</v>
      </c>
      <c r="H283" s="37">
        <v>61.024299999999997</v>
      </c>
      <c r="I283" s="37">
        <v>69.369399999999999</v>
      </c>
      <c r="J283" s="37">
        <v>37.2607</v>
      </c>
      <c r="K283" s="37">
        <v>1986.0632000000001</v>
      </c>
      <c r="L283" s="37">
        <v>2074.7809000000002</v>
      </c>
      <c r="M283" s="37">
        <v>1026.0545999999999</v>
      </c>
    </row>
    <row r="284" spans="2:13" x14ac:dyDescent="0.15">
      <c r="B284" s="37" t="s">
        <v>382</v>
      </c>
      <c r="C284" s="37" t="s">
        <v>771</v>
      </c>
      <c r="D284" s="37" t="s">
        <v>959</v>
      </c>
      <c r="E284" s="37" t="s">
        <v>9</v>
      </c>
      <c r="F284" s="37" t="s">
        <v>64</v>
      </c>
      <c r="G284" s="37" t="s">
        <v>123</v>
      </c>
      <c r="H284" s="37">
        <v>99.720299999999995</v>
      </c>
      <c r="I284" s="37">
        <v>82.962900000000005</v>
      </c>
      <c r="J284" s="37">
        <v>1.6460999999999999</v>
      </c>
      <c r="K284" s="37">
        <v>3124.0421999999999</v>
      </c>
      <c r="L284" s="37">
        <v>2460.6639</v>
      </c>
      <c r="M284" s="37">
        <v>45.897799999999997</v>
      </c>
    </row>
    <row r="285" spans="2:13" x14ac:dyDescent="0.15">
      <c r="B285" s="37" t="s">
        <v>383</v>
      </c>
      <c r="C285" s="37" t="s">
        <v>771</v>
      </c>
      <c r="D285" s="37" t="s">
        <v>959</v>
      </c>
      <c r="E285" s="37" t="s">
        <v>9</v>
      </c>
      <c r="F285" s="37" t="s">
        <v>10</v>
      </c>
      <c r="G285" s="37" t="s">
        <v>42</v>
      </c>
      <c r="H285" s="37">
        <v>86.361699999999999</v>
      </c>
      <c r="I285" s="37">
        <v>101.56570000000001</v>
      </c>
      <c r="J285" s="37">
        <v>54.776899999999998</v>
      </c>
      <c r="K285" s="37">
        <v>3022.1621</v>
      </c>
      <c r="L285" s="37">
        <v>3499.3182999999999</v>
      </c>
      <c r="M285" s="37">
        <v>1704.9738</v>
      </c>
    </row>
    <row r="286" spans="2:13" x14ac:dyDescent="0.15">
      <c r="B286" s="37" t="s">
        <v>387</v>
      </c>
      <c r="C286" s="37" t="s">
        <v>771</v>
      </c>
      <c r="D286" s="37" t="s">
        <v>960</v>
      </c>
      <c r="E286" s="37" t="s">
        <v>9</v>
      </c>
      <c r="F286" s="37" t="s">
        <v>64</v>
      </c>
      <c r="G286" s="37" t="s">
        <v>363</v>
      </c>
      <c r="H286" s="37">
        <v>23.7104</v>
      </c>
      <c r="I286" s="37">
        <v>2.5188000000000001</v>
      </c>
      <c r="J286" s="37">
        <v>0.15770000000000001</v>
      </c>
      <c r="K286" s="37">
        <v>549.04570000000001</v>
      </c>
      <c r="L286" s="37">
        <v>49.080599999999997</v>
      </c>
      <c r="M286" s="37">
        <v>2.9064000000000001</v>
      </c>
    </row>
    <row r="287" spans="2:13" x14ac:dyDescent="0.15">
      <c r="B287" s="37" t="s">
        <v>388</v>
      </c>
      <c r="C287" s="37" t="s">
        <v>771</v>
      </c>
      <c r="D287" s="37" t="s">
        <v>960</v>
      </c>
      <c r="E287" s="37" t="s">
        <v>9</v>
      </c>
      <c r="F287" s="37" t="s">
        <v>64</v>
      </c>
      <c r="G287" s="37" t="s">
        <v>363</v>
      </c>
      <c r="H287" s="37">
        <v>34.488300000000002</v>
      </c>
      <c r="I287" s="37">
        <v>5.6889000000000003</v>
      </c>
      <c r="J287" s="37">
        <v>0.2626</v>
      </c>
      <c r="K287" s="37">
        <v>739.96220000000005</v>
      </c>
      <c r="L287" s="37">
        <v>104.66840000000001</v>
      </c>
      <c r="M287" s="37">
        <v>4.7222</v>
      </c>
    </row>
    <row r="288" spans="2:13" x14ac:dyDescent="0.15">
      <c r="B288" s="37" t="s">
        <v>389</v>
      </c>
      <c r="C288" s="37" t="s">
        <v>771</v>
      </c>
      <c r="D288" s="37" t="s">
        <v>960</v>
      </c>
      <c r="E288" s="37" t="s">
        <v>9</v>
      </c>
      <c r="F288" s="37" t="s">
        <v>64</v>
      </c>
      <c r="G288" s="37" t="s">
        <v>363</v>
      </c>
      <c r="H288" s="37">
        <v>0.31869999999999998</v>
      </c>
      <c r="K288" s="37">
        <v>6.5327000000000002</v>
      </c>
    </row>
    <row r="289" spans="2:13" x14ac:dyDescent="0.15">
      <c r="B289" s="37" t="s">
        <v>390</v>
      </c>
      <c r="C289" s="37" t="s">
        <v>771</v>
      </c>
      <c r="D289" s="37" t="s">
        <v>960</v>
      </c>
      <c r="E289" s="37" t="s">
        <v>9</v>
      </c>
      <c r="F289" s="37" t="s">
        <v>64</v>
      </c>
      <c r="G289" s="37" t="s">
        <v>363</v>
      </c>
      <c r="H289" s="37">
        <v>7.1499999999999994E-2</v>
      </c>
      <c r="K289" s="37">
        <v>1.2682</v>
      </c>
    </row>
    <row r="290" spans="2:13" x14ac:dyDescent="0.15">
      <c r="B290" s="37" t="s">
        <v>394</v>
      </c>
      <c r="C290" s="37" t="s">
        <v>773</v>
      </c>
      <c r="D290" s="37" t="s">
        <v>961</v>
      </c>
      <c r="E290" s="37" t="s">
        <v>9</v>
      </c>
      <c r="F290" s="37" t="s">
        <v>69</v>
      </c>
      <c r="G290" s="37" t="s">
        <v>42</v>
      </c>
      <c r="I290" s="37">
        <v>6.2138</v>
      </c>
      <c r="J290" s="37">
        <v>8.77E-2</v>
      </c>
      <c r="L290" s="37">
        <v>384.83499999999998</v>
      </c>
      <c r="M290" s="37">
        <v>5.7408999999999999</v>
      </c>
    </row>
    <row r="291" spans="2:13" x14ac:dyDescent="0.15">
      <c r="B291" s="37" t="s">
        <v>396</v>
      </c>
      <c r="C291" s="37" t="s">
        <v>774</v>
      </c>
      <c r="D291" s="37" t="s">
        <v>962</v>
      </c>
      <c r="E291" s="37" t="s">
        <v>9</v>
      </c>
      <c r="F291" s="37" t="s">
        <v>64</v>
      </c>
      <c r="G291" s="37" t="s">
        <v>21</v>
      </c>
      <c r="H291" s="37">
        <v>2.8529</v>
      </c>
      <c r="K291" s="37">
        <v>195.97380000000001</v>
      </c>
    </row>
    <row r="292" spans="2:13" x14ac:dyDescent="0.15">
      <c r="B292" s="37" t="s">
        <v>397</v>
      </c>
      <c r="C292" s="37" t="s">
        <v>774</v>
      </c>
      <c r="D292" s="37" t="s">
        <v>962</v>
      </c>
      <c r="E292" s="37" t="s">
        <v>9</v>
      </c>
      <c r="F292" s="37" t="s">
        <v>64</v>
      </c>
      <c r="G292" s="37" t="s">
        <v>21</v>
      </c>
      <c r="H292" s="37">
        <v>13.515499999999999</v>
      </c>
      <c r="I292" s="37">
        <v>1.9742999999999999</v>
      </c>
      <c r="J292" s="37">
        <v>2.98E-2</v>
      </c>
      <c r="K292" s="37">
        <v>813.32730000000004</v>
      </c>
      <c r="L292" s="37">
        <v>103.7679</v>
      </c>
      <c r="M292" s="37">
        <v>1.4246000000000001</v>
      </c>
    </row>
    <row r="293" spans="2:13" x14ac:dyDescent="0.15">
      <c r="B293" s="37" t="s">
        <v>398</v>
      </c>
      <c r="C293" s="37" t="s">
        <v>774</v>
      </c>
      <c r="D293" s="37" t="s">
        <v>962</v>
      </c>
      <c r="E293" s="37" t="s">
        <v>9</v>
      </c>
      <c r="F293" s="37" t="s">
        <v>64</v>
      </c>
      <c r="G293" s="37" t="s">
        <v>24</v>
      </c>
      <c r="I293" s="37">
        <v>47.540100000000002</v>
      </c>
      <c r="J293" s="37">
        <v>13.0617</v>
      </c>
      <c r="L293" s="37">
        <v>2356.4949999999999</v>
      </c>
      <c r="M293" s="37">
        <v>720.12469999999996</v>
      </c>
    </row>
    <row r="294" spans="2:13" x14ac:dyDescent="0.15">
      <c r="B294" s="37" t="s">
        <v>399</v>
      </c>
      <c r="C294" s="37" t="s">
        <v>774</v>
      </c>
      <c r="D294" s="37" t="s">
        <v>962</v>
      </c>
      <c r="E294" s="37" t="s">
        <v>9</v>
      </c>
      <c r="F294" s="37" t="s">
        <v>64</v>
      </c>
      <c r="G294" s="37" t="s">
        <v>103</v>
      </c>
      <c r="H294" s="37">
        <v>4.0548000000000002</v>
      </c>
      <c r="I294" s="37">
        <v>2.4268999999999998</v>
      </c>
      <c r="K294" s="37">
        <v>220.69159999999999</v>
      </c>
      <c r="L294" s="37">
        <v>134.58930000000001</v>
      </c>
    </row>
    <row r="295" spans="2:13" x14ac:dyDescent="0.15">
      <c r="B295" s="37" t="s">
        <v>401</v>
      </c>
      <c r="C295" s="37" t="s">
        <v>774</v>
      </c>
      <c r="D295" s="37" t="s">
        <v>963</v>
      </c>
      <c r="E295" s="37" t="s">
        <v>9</v>
      </c>
      <c r="F295" s="37" t="s">
        <v>20</v>
      </c>
      <c r="G295" s="37" t="s">
        <v>103</v>
      </c>
      <c r="H295" s="37">
        <v>42.300199999999997</v>
      </c>
      <c r="I295" s="37">
        <v>20.829499999999999</v>
      </c>
      <c r="J295" s="37">
        <v>4.8948</v>
      </c>
      <c r="K295" s="37">
        <v>2912.5239999999999</v>
      </c>
      <c r="L295" s="37">
        <v>1143.2672</v>
      </c>
      <c r="M295" s="37">
        <v>245.0727</v>
      </c>
    </row>
    <row r="296" spans="2:13" x14ac:dyDescent="0.15">
      <c r="B296" s="37" t="s">
        <v>403</v>
      </c>
      <c r="C296" s="37" t="s">
        <v>775</v>
      </c>
      <c r="D296" s="37" t="s">
        <v>964</v>
      </c>
      <c r="E296" s="37" t="s">
        <v>9</v>
      </c>
      <c r="F296" s="37" t="s">
        <v>20</v>
      </c>
      <c r="G296" s="37" t="s">
        <v>24</v>
      </c>
      <c r="H296" s="37">
        <v>12.6196</v>
      </c>
      <c r="I296" s="37">
        <v>0.30170000000000002</v>
      </c>
      <c r="K296" s="37">
        <v>774.8818</v>
      </c>
      <c r="L296" s="37">
        <v>18.222799999999999</v>
      </c>
    </row>
    <row r="297" spans="2:13" x14ac:dyDescent="0.15">
      <c r="B297" s="37" t="s">
        <v>405</v>
      </c>
      <c r="C297" s="37" t="s">
        <v>775</v>
      </c>
      <c r="D297" s="37" t="s">
        <v>965</v>
      </c>
      <c r="E297" s="37" t="s">
        <v>9</v>
      </c>
      <c r="F297" s="37" t="s">
        <v>30</v>
      </c>
      <c r="G297" s="37" t="s">
        <v>24</v>
      </c>
      <c r="I297" s="37">
        <v>39.128300000000003</v>
      </c>
      <c r="J297" s="37">
        <v>18.019200000000001</v>
      </c>
      <c r="L297" s="37">
        <v>2116.4569999999999</v>
      </c>
      <c r="M297" s="37">
        <v>1056.0386000000001</v>
      </c>
    </row>
    <row r="298" spans="2:13" x14ac:dyDescent="0.15">
      <c r="B298" s="37" t="s">
        <v>406</v>
      </c>
      <c r="C298" s="37" t="s">
        <v>775</v>
      </c>
      <c r="D298" s="37" t="s">
        <v>965</v>
      </c>
      <c r="E298" s="37" t="s">
        <v>9</v>
      </c>
      <c r="F298" s="37" t="s">
        <v>30</v>
      </c>
      <c r="G298" s="37" t="s">
        <v>42</v>
      </c>
      <c r="H298" s="37">
        <v>14.5854</v>
      </c>
      <c r="I298" s="37">
        <v>45.532299999999999</v>
      </c>
      <c r="J298" s="37">
        <v>49.915700000000001</v>
      </c>
      <c r="K298" s="37">
        <v>930.23509999999999</v>
      </c>
      <c r="L298" s="37">
        <v>2490.5082000000002</v>
      </c>
      <c r="M298" s="37">
        <v>2411.3348000000001</v>
      </c>
    </row>
    <row r="299" spans="2:13" x14ac:dyDescent="0.15">
      <c r="B299" s="37" t="s">
        <v>408</v>
      </c>
      <c r="C299" s="37" t="s">
        <v>776</v>
      </c>
      <c r="D299" s="37" t="s">
        <v>966</v>
      </c>
      <c r="E299" s="37" t="s">
        <v>9</v>
      </c>
      <c r="F299" s="37" t="s">
        <v>64</v>
      </c>
      <c r="G299" s="37" t="s">
        <v>34</v>
      </c>
      <c r="H299" s="37">
        <v>0.1139</v>
      </c>
      <c r="I299" s="37">
        <v>4.0300000000000002E-2</v>
      </c>
      <c r="K299" s="37">
        <v>0.85599999999999998</v>
      </c>
      <c r="L299" s="37">
        <v>0.30399999999999999</v>
      </c>
    </row>
    <row r="300" spans="2:13" x14ac:dyDescent="0.15">
      <c r="B300" s="37" t="s">
        <v>409</v>
      </c>
      <c r="C300" s="37" t="s">
        <v>776</v>
      </c>
      <c r="D300" s="37" t="s">
        <v>966</v>
      </c>
      <c r="E300" s="37" t="s">
        <v>9</v>
      </c>
      <c r="F300" s="37" t="s">
        <v>64</v>
      </c>
      <c r="G300" s="37" t="s">
        <v>34</v>
      </c>
      <c r="H300" s="37">
        <v>0.19919999999999999</v>
      </c>
      <c r="K300" s="37">
        <v>1.496</v>
      </c>
    </row>
    <row r="301" spans="2:13" x14ac:dyDescent="0.15">
      <c r="B301" s="37" t="s">
        <v>411</v>
      </c>
      <c r="C301" s="37" t="s">
        <v>777</v>
      </c>
      <c r="D301" s="37" t="s">
        <v>967</v>
      </c>
      <c r="E301" s="37" t="s">
        <v>9</v>
      </c>
      <c r="F301" s="37" t="s">
        <v>30</v>
      </c>
      <c r="G301" s="37" t="s">
        <v>21</v>
      </c>
      <c r="H301" s="37">
        <v>4.4461000000000004</v>
      </c>
      <c r="I301" s="37">
        <v>2.0626000000000002</v>
      </c>
      <c r="K301" s="37">
        <v>234.7319</v>
      </c>
      <c r="L301" s="37">
        <v>137.5095</v>
      </c>
    </row>
    <row r="302" spans="2:13" x14ac:dyDescent="0.15">
      <c r="B302" s="37" t="s">
        <v>412</v>
      </c>
      <c r="C302" s="37" t="s">
        <v>777</v>
      </c>
      <c r="D302" s="37" t="s">
        <v>967</v>
      </c>
      <c r="E302" s="37" t="s">
        <v>9</v>
      </c>
      <c r="F302" s="37" t="s">
        <v>20</v>
      </c>
      <c r="G302" s="37" t="s">
        <v>26</v>
      </c>
      <c r="H302" s="37">
        <v>0.15609999999999999</v>
      </c>
      <c r="I302" s="37">
        <v>2.98E-2</v>
      </c>
      <c r="J302" s="37">
        <v>0.25540000000000002</v>
      </c>
      <c r="K302" s="37">
        <v>9.3703000000000003</v>
      </c>
      <c r="L302" s="37">
        <v>1.4905999999999999</v>
      </c>
      <c r="M302" s="37">
        <v>12.7729</v>
      </c>
    </row>
    <row r="303" spans="2:13" x14ac:dyDescent="0.15">
      <c r="B303" s="37" t="s">
        <v>413</v>
      </c>
      <c r="C303" s="37" t="s">
        <v>777</v>
      </c>
      <c r="D303" s="37" t="s">
        <v>967</v>
      </c>
      <c r="E303" s="37" t="s">
        <v>9</v>
      </c>
      <c r="F303" s="37" t="s">
        <v>10</v>
      </c>
      <c r="G303" s="37" t="s">
        <v>99</v>
      </c>
      <c r="H303" s="37">
        <v>1.8445</v>
      </c>
      <c r="K303" s="37">
        <v>41.871899999999997</v>
      </c>
    </row>
    <row r="304" spans="2:13" x14ac:dyDescent="0.15">
      <c r="B304" s="37" t="s">
        <v>414</v>
      </c>
      <c r="C304" s="37" t="s">
        <v>777</v>
      </c>
      <c r="D304" s="37" t="s">
        <v>967</v>
      </c>
      <c r="E304" s="37" t="s">
        <v>9</v>
      </c>
      <c r="F304" s="37" t="s">
        <v>20</v>
      </c>
      <c r="G304" s="37" t="s">
        <v>42</v>
      </c>
      <c r="H304" s="37">
        <v>0.57199999999999995</v>
      </c>
      <c r="K304" s="37">
        <v>34.318100000000001</v>
      </c>
    </row>
    <row r="305" spans="2:13" x14ac:dyDescent="0.15">
      <c r="B305" s="37" t="s">
        <v>415</v>
      </c>
      <c r="C305" s="37" t="s">
        <v>777</v>
      </c>
      <c r="D305" s="37" t="s">
        <v>967</v>
      </c>
      <c r="E305" s="37" t="s">
        <v>9</v>
      </c>
      <c r="F305" s="37" t="s">
        <v>20</v>
      </c>
      <c r="G305" s="37" t="s">
        <v>42</v>
      </c>
      <c r="H305" s="37">
        <v>10.123900000000001</v>
      </c>
      <c r="I305" s="37">
        <v>4.3895</v>
      </c>
      <c r="K305" s="37">
        <v>617.78060000000005</v>
      </c>
      <c r="L305" s="37">
        <v>241.07740000000001</v>
      </c>
    </row>
    <row r="306" spans="2:13" x14ac:dyDescent="0.15">
      <c r="B306" s="37" t="s">
        <v>417</v>
      </c>
      <c r="C306" s="37" t="s">
        <v>777</v>
      </c>
      <c r="D306" s="37" t="s">
        <v>968</v>
      </c>
      <c r="E306" s="37" t="s">
        <v>9</v>
      </c>
      <c r="F306" s="37" t="s">
        <v>64</v>
      </c>
      <c r="G306" s="37" t="s">
        <v>24</v>
      </c>
      <c r="I306" s="37">
        <v>56.203800000000001</v>
      </c>
      <c r="J306" s="37">
        <v>22.180299999999999</v>
      </c>
      <c r="L306" s="37">
        <v>3259.8697999999999</v>
      </c>
      <c r="M306" s="37">
        <v>1260.6195</v>
      </c>
    </row>
    <row r="307" spans="2:13" x14ac:dyDescent="0.15">
      <c r="B307" s="37" t="s">
        <v>418</v>
      </c>
      <c r="C307" s="37" t="s">
        <v>777</v>
      </c>
      <c r="D307" s="37" t="s">
        <v>968</v>
      </c>
      <c r="E307" s="37" t="s">
        <v>9</v>
      </c>
      <c r="F307" s="37" t="s">
        <v>64</v>
      </c>
      <c r="G307" s="37" t="s">
        <v>42</v>
      </c>
      <c r="I307" s="37">
        <v>15.356400000000001</v>
      </c>
      <c r="J307" s="37">
        <v>10.720599999999999</v>
      </c>
      <c r="L307" s="37">
        <v>847.21910000000003</v>
      </c>
      <c r="M307" s="37">
        <v>534.71069999999997</v>
      </c>
    </row>
    <row r="308" spans="2:13" x14ac:dyDescent="0.15">
      <c r="B308" s="37" t="s">
        <v>420</v>
      </c>
      <c r="C308" s="37" t="s">
        <v>777</v>
      </c>
      <c r="D308" s="37" t="s">
        <v>969</v>
      </c>
      <c r="E308" s="37" t="s">
        <v>9</v>
      </c>
      <c r="F308" s="37" t="s">
        <v>10</v>
      </c>
      <c r="G308" s="37" t="s">
        <v>17</v>
      </c>
      <c r="H308" s="37">
        <v>1.0731999999999999</v>
      </c>
      <c r="K308" s="37">
        <v>47.075600000000001</v>
      </c>
    </row>
    <row r="309" spans="2:13" x14ac:dyDescent="0.15">
      <c r="B309" s="37" t="s">
        <v>422</v>
      </c>
      <c r="C309" s="37" t="s">
        <v>777</v>
      </c>
      <c r="D309" s="37" t="s">
        <v>970</v>
      </c>
      <c r="E309" s="37" t="s">
        <v>9</v>
      </c>
      <c r="F309" s="37" t="s">
        <v>64</v>
      </c>
      <c r="G309" s="37" t="s">
        <v>423</v>
      </c>
      <c r="H309" s="37">
        <v>2.6486999999999998</v>
      </c>
      <c r="K309" s="37">
        <v>124.62050000000001</v>
      </c>
    </row>
    <row r="310" spans="2:13" x14ac:dyDescent="0.15">
      <c r="B310" s="37" t="s">
        <v>425</v>
      </c>
      <c r="C310" s="37" t="s">
        <v>777</v>
      </c>
      <c r="D310" s="37" t="s">
        <v>971</v>
      </c>
      <c r="E310" s="37" t="s">
        <v>9</v>
      </c>
      <c r="F310" s="37" t="s">
        <v>20</v>
      </c>
      <c r="G310" s="37" t="s">
        <v>24</v>
      </c>
      <c r="H310" s="37">
        <v>84.095799999999997</v>
      </c>
      <c r="I310" s="37">
        <v>151.49979999999999</v>
      </c>
      <c r="J310" s="37">
        <v>39.488900000000001</v>
      </c>
      <c r="K310" s="37">
        <v>4863.5491000000002</v>
      </c>
      <c r="L310" s="37">
        <v>8687.4974999999995</v>
      </c>
      <c r="M310" s="37">
        <v>2240.9688000000001</v>
      </c>
    </row>
    <row r="311" spans="2:13" x14ac:dyDescent="0.15">
      <c r="B311" s="37" t="s">
        <v>426</v>
      </c>
      <c r="C311" s="37" t="s">
        <v>777</v>
      </c>
      <c r="D311" s="37" t="s">
        <v>971</v>
      </c>
      <c r="E311" s="37" t="s">
        <v>9</v>
      </c>
      <c r="F311" s="37" t="s">
        <v>20</v>
      </c>
      <c r="G311" s="37" t="s">
        <v>42</v>
      </c>
      <c r="H311" s="37">
        <v>24.440899999999999</v>
      </c>
      <c r="I311" s="37">
        <v>13.931900000000001</v>
      </c>
      <c r="J311" s="37">
        <v>5.4257</v>
      </c>
      <c r="K311" s="37">
        <v>1419.3269</v>
      </c>
      <c r="L311" s="37">
        <v>757.8877</v>
      </c>
      <c r="M311" s="37">
        <v>289.12630000000001</v>
      </c>
    </row>
    <row r="312" spans="2:13" x14ac:dyDescent="0.15">
      <c r="B312" s="37" t="s">
        <v>427</v>
      </c>
      <c r="C312" s="37" t="s">
        <v>777</v>
      </c>
      <c r="D312" s="37" t="s">
        <v>971</v>
      </c>
      <c r="E312" s="37" t="s">
        <v>9</v>
      </c>
      <c r="F312" s="37" t="s">
        <v>20</v>
      </c>
      <c r="G312" s="37" t="s">
        <v>42</v>
      </c>
      <c r="H312" s="37">
        <v>2.0893000000000002</v>
      </c>
      <c r="I312" s="37">
        <v>2.5973000000000002</v>
      </c>
      <c r="J312" s="37">
        <v>0.1109</v>
      </c>
      <c r="K312" s="37">
        <v>135.5565</v>
      </c>
      <c r="L312" s="37">
        <v>141.02850000000001</v>
      </c>
      <c r="M312" s="37">
        <v>6.4691999999999998</v>
      </c>
    </row>
    <row r="313" spans="2:13" x14ac:dyDescent="0.15">
      <c r="B313" s="37" t="s">
        <v>429</v>
      </c>
      <c r="C313" s="37" t="s">
        <v>778</v>
      </c>
      <c r="D313" s="37" t="s">
        <v>967</v>
      </c>
      <c r="E313" s="37" t="s">
        <v>9</v>
      </c>
      <c r="F313" s="37" t="s">
        <v>20</v>
      </c>
      <c r="G313" s="37" t="s">
        <v>24</v>
      </c>
      <c r="H313" s="37">
        <v>6.1833</v>
      </c>
      <c r="I313" s="37">
        <v>0.61119999999999997</v>
      </c>
      <c r="K313" s="37">
        <v>392.1592</v>
      </c>
      <c r="L313" s="37">
        <v>31.181999999999999</v>
      </c>
    </row>
    <row r="314" spans="2:13" x14ac:dyDescent="0.15">
      <c r="B314" s="37" t="s">
        <v>433</v>
      </c>
      <c r="C314" s="37" t="s">
        <v>778</v>
      </c>
      <c r="D314" s="37" t="s">
        <v>972</v>
      </c>
      <c r="E314" s="37" t="s">
        <v>9</v>
      </c>
      <c r="F314" s="37" t="s">
        <v>20</v>
      </c>
      <c r="G314" s="37" t="s">
        <v>24</v>
      </c>
      <c r="H314" s="37">
        <v>2.5480999999999998</v>
      </c>
      <c r="I314" s="37">
        <v>2.6009000000000002</v>
      </c>
      <c r="K314" s="37">
        <v>132.16820000000001</v>
      </c>
      <c r="L314" s="37">
        <v>141.76490000000001</v>
      </c>
    </row>
    <row r="315" spans="2:13" x14ac:dyDescent="0.15">
      <c r="B315" s="37" t="s">
        <v>435</v>
      </c>
      <c r="C315" s="37" t="s">
        <v>779</v>
      </c>
      <c r="D315" s="37" t="s">
        <v>973</v>
      </c>
      <c r="E315" s="37" t="s">
        <v>9</v>
      </c>
      <c r="F315" s="37" t="s">
        <v>69</v>
      </c>
      <c r="G315" s="37" t="s">
        <v>11</v>
      </c>
      <c r="H315" s="37">
        <v>0.15809999999999999</v>
      </c>
      <c r="I315" s="37">
        <v>2E-3</v>
      </c>
      <c r="J315" s="37">
        <v>1E-3</v>
      </c>
      <c r="K315" s="37">
        <v>2.1</v>
      </c>
      <c r="L315" s="37">
        <v>0.02</v>
      </c>
      <c r="M315" s="37">
        <v>0.02</v>
      </c>
    </row>
    <row r="316" spans="2:13" x14ac:dyDescent="0.15">
      <c r="B316" s="37" t="s">
        <v>437</v>
      </c>
      <c r="C316" s="37" t="s">
        <v>780</v>
      </c>
      <c r="D316" s="37" t="s">
        <v>974</v>
      </c>
      <c r="E316" s="37" t="s">
        <v>9</v>
      </c>
      <c r="F316" s="37" t="s">
        <v>30</v>
      </c>
      <c r="G316" s="37" t="s">
        <v>34</v>
      </c>
      <c r="H316" s="37">
        <v>6.0000000000000001E-3</v>
      </c>
      <c r="I316" s="37">
        <v>0.35439999999999999</v>
      </c>
      <c r="K316" s="37">
        <v>0.33839999999999998</v>
      </c>
      <c r="L316" s="37">
        <v>16.541699999999999</v>
      </c>
    </row>
    <row r="317" spans="2:13" x14ac:dyDescent="0.15">
      <c r="B317" s="37" t="s">
        <v>824</v>
      </c>
      <c r="C317" s="37" t="s">
        <v>782</v>
      </c>
      <c r="D317" s="37" t="s">
        <v>975</v>
      </c>
      <c r="E317" s="37" t="s">
        <v>9</v>
      </c>
      <c r="F317" s="37" t="s">
        <v>20</v>
      </c>
      <c r="G317" s="37" t="s">
        <v>42</v>
      </c>
      <c r="J317" s="37">
        <v>9.8000000000000004E-2</v>
      </c>
      <c r="M317" s="37">
        <v>3.3592</v>
      </c>
    </row>
    <row r="318" spans="2:13" x14ac:dyDescent="0.15">
      <c r="B318" s="37" t="s">
        <v>443</v>
      </c>
      <c r="C318" s="37" t="s">
        <v>783</v>
      </c>
      <c r="D318" s="37" t="s">
        <v>976</v>
      </c>
      <c r="E318" s="37" t="s">
        <v>9</v>
      </c>
      <c r="F318" s="37" t="s">
        <v>10</v>
      </c>
      <c r="G318" s="37" t="s">
        <v>42</v>
      </c>
      <c r="I318" s="37">
        <v>0.79349999999999998</v>
      </c>
      <c r="J318" s="37">
        <v>0.7298</v>
      </c>
      <c r="L318" s="37">
        <v>47.268799999999999</v>
      </c>
      <c r="M318" s="37">
        <v>43.602699999999999</v>
      </c>
    </row>
    <row r="319" spans="2:13" x14ac:dyDescent="0.15">
      <c r="B319" s="37" t="s">
        <v>445</v>
      </c>
      <c r="C319" s="37" t="s">
        <v>784</v>
      </c>
      <c r="D319" s="37" t="s">
        <v>977</v>
      </c>
      <c r="E319" s="37" t="s">
        <v>9</v>
      </c>
      <c r="F319" s="37" t="s">
        <v>20</v>
      </c>
      <c r="G319" s="37" t="s">
        <v>68</v>
      </c>
      <c r="H319" s="37">
        <v>0.36020000000000002</v>
      </c>
      <c r="I319" s="37">
        <v>5.21E-2</v>
      </c>
      <c r="J319" s="37">
        <v>9.4000000000000004E-3</v>
      </c>
      <c r="K319" s="37">
        <v>19.065100000000001</v>
      </c>
      <c r="L319" s="37">
        <v>2.6206</v>
      </c>
      <c r="M319" s="37">
        <v>0.48</v>
      </c>
    </row>
    <row r="320" spans="2:13" x14ac:dyDescent="0.15">
      <c r="B320" s="37" t="s">
        <v>447</v>
      </c>
      <c r="C320" s="37" t="s">
        <v>785</v>
      </c>
      <c r="D320" s="37" t="s">
        <v>978</v>
      </c>
      <c r="E320" s="37" t="s">
        <v>9</v>
      </c>
      <c r="F320" s="37" t="s">
        <v>20</v>
      </c>
      <c r="G320" s="37" t="s">
        <v>17</v>
      </c>
      <c r="J320" s="37">
        <v>2.0999999999999999E-3</v>
      </c>
      <c r="M320" s="37">
        <v>0.17710000000000001</v>
      </c>
    </row>
    <row r="321" spans="2:13" x14ac:dyDescent="0.15">
      <c r="B321" s="37" t="s">
        <v>449</v>
      </c>
      <c r="C321" s="37" t="s">
        <v>786</v>
      </c>
      <c r="D321" s="37" t="s">
        <v>979</v>
      </c>
      <c r="E321" s="37" t="s">
        <v>9</v>
      </c>
      <c r="F321" s="37" t="s">
        <v>30</v>
      </c>
      <c r="G321" s="37" t="s">
        <v>118</v>
      </c>
      <c r="H321" s="37">
        <v>1.4545999999999999</v>
      </c>
      <c r="I321" s="37">
        <v>0.15629999999999999</v>
      </c>
      <c r="J321" s="37">
        <v>5.8099999999999999E-2</v>
      </c>
      <c r="K321" s="37">
        <v>31.957999999999998</v>
      </c>
      <c r="L321" s="37">
        <v>3.1030000000000002</v>
      </c>
      <c r="M321" s="37">
        <v>1.1613</v>
      </c>
    </row>
    <row r="322" spans="2:13" x14ac:dyDescent="0.15">
      <c r="B322" s="37" t="s">
        <v>450</v>
      </c>
      <c r="C322" s="37" t="s">
        <v>786</v>
      </c>
      <c r="D322" s="37" t="s">
        <v>979</v>
      </c>
      <c r="E322" s="37" t="s">
        <v>9</v>
      </c>
      <c r="F322" s="37" t="s">
        <v>30</v>
      </c>
      <c r="G322" s="37" t="s">
        <v>42</v>
      </c>
      <c r="H322" s="37">
        <v>0.69610000000000005</v>
      </c>
      <c r="K322" s="37">
        <v>23.8918</v>
      </c>
    </row>
    <row r="323" spans="2:13" x14ac:dyDescent="0.15">
      <c r="B323" s="37" t="s">
        <v>452</v>
      </c>
      <c r="C323" s="37" t="s">
        <v>787</v>
      </c>
      <c r="D323" s="37" t="s">
        <v>980</v>
      </c>
      <c r="E323" s="37" t="s">
        <v>9</v>
      </c>
      <c r="F323" s="37" t="s">
        <v>30</v>
      </c>
      <c r="G323" s="37" t="s">
        <v>88</v>
      </c>
      <c r="H323" s="37">
        <v>0.83640000000000003</v>
      </c>
      <c r="I323" s="37">
        <v>0.55679999999999996</v>
      </c>
      <c r="J323" s="37">
        <v>0.16950000000000001</v>
      </c>
      <c r="K323" s="37">
        <v>3.2871000000000001</v>
      </c>
      <c r="L323" s="37">
        <v>1.9970000000000001</v>
      </c>
      <c r="M323" s="37">
        <v>0.75749999999999995</v>
      </c>
    </row>
    <row r="324" spans="2:13" x14ac:dyDescent="0.15">
      <c r="B324" s="37" t="s">
        <v>453</v>
      </c>
      <c r="C324" s="37" t="s">
        <v>787</v>
      </c>
      <c r="D324" s="37" t="s">
        <v>980</v>
      </c>
      <c r="E324" s="37" t="s">
        <v>9</v>
      </c>
      <c r="F324" s="37" t="s">
        <v>30</v>
      </c>
      <c r="G324" s="37" t="s">
        <v>103</v>
      </c>
      <c r="H324" s="37">
        <v>1.8599999999999998E-2</v>
      </c>
      <c r="K324" s="37">
        <v>0.14000000000000001</v>
      </c>
    </row>
    <row r="325" spans="2:13" x14ac:dyDescent="0.15">
      <c r="B325" s="37" t="s">
        <v>454</v>
      </c>
      <c r="C325" s="37" t="s">
        <v>787</v>
      </c>
      <c r="D325" s="37" t="s">
        <v>980</v>
      </c>
      <c r="E325" s="37" t="s">
        <v>9</v>
      </c>
      <c r="F325" s="37" t="s">
        <v>30</v>
      </c>
      <c r="G325" s="37" t="s">
        <v>103</v>
      </c>
      <c r="H325" s="37">
        <v>0.34599999999999997</v>
      </c>
      <c r="I325" s="37">
        <v>0.3881</v>
      </c>
      <c r="J325" s="37">
        <v>0.2717</v>
      </c>
      <c r="K325" s="37">
        <v>2.4157999999999999</v>
      </c>
      <c r="L325" s="37">
        <v>2.4979</v>
      </c>
      <c r="M325" s="37">
        <v>1.68</v>
      </c>
    </row>
    <row r="326" spans="2:13" x14ac:dyDescent="0.15">
      <c r="B326" s="37" t="s">
        <v>455</v>
      </c>
      <c r="C326" s="37" t="s">
        <v>787</v>
      </c>
      <c r="D326" s="37" t="s">
        <v>980</v>
      </c>
      <c r="E326" s="37" t="s">
        <v>9</v>
      </c>
      <c r="F326" s="37" t="s">
        <v>30</v>
      </c>
      <c r="G326" s="37" t="s">
        <v>103</v>
      </c>
      <c r="H326" s="37">
        <v>0.25569999999999998</v>
      </c>
      <c r="I326" s="37">
        <v>2.6200000000000001E-2</v>
      </c>
      <c r="K326" s="37">
        <v>2.27</v>
      </c>
      <c r="L326" s="37">
        <v>0.31</v>
      </c>
    </row>
    <row r="327" spans="2:13" x14ac:dyDescent="0.15">
      <c r="B327" s="37" t="s">
        <v>457</v>
      </c>
      <c r="C327" s="37" t="s">
        <v>788</v>
      </c>
      <c r="D327" s="37" t="s">
        <v>967</v>
      </c>
      <c r="E327" s="37" t="s">
        <v>9</v>
      </c>
      <c r="F327" s="37" t="s">
        <v>20</v>
      </c>
      <c r="G327" s="37" t="s">
        <v>99</v>
      </c>
      <c r="H327" s="37">
        <v>4.2514000000000003</v>
      </c>
      <c r="I327" s="37">
        <v>9.5349000000000004</v>
      </c>
      <c r="J327" s="37">
        <v>4.3247999999999998</v>
      </c>
      <c r="K327" s="37">
        <v>118.9742</v>
      </c>
      <c r="L327" s="37">
        <v>264.43900000000002</v>
      </c>
      <c r="M327" s="37">
        <v>116.2043</v>
      </c>
    </row>
    <row r="328" spans="2:13" x14ac:dyDescent="0.15">
      <c r="B328" s="37" t="s">
        <v>458</v>
      </c>
      <c r="C328" s="37" t="s">
        <v>788</v>
      </c>
      <c r="D328" s="37" t="s">
        <v>967</v>
      </c>
      <c r="E328" s="37" t="s">
        <v>9</v>
      </c>
      <c r="F328" s="37" t="s">
        <v>20</v>
      </c>
      <c r="G328" s="37" t="s">
        <v>99</v>
      </c>
      <c r="I328" s="37">
        <v>3.1814</v>
      </c>
      <c r="J328" s="37">
        <v>1.8621000000000001</v>
      </c>
      <c r="L328" s="37">
        <v>84.536500000000004</v>
      </c>
      <c r="M328" s="37">
        <v>48.9773</v>
      </c>
    </row>
    <row r="329" spans="2:13" x14ac:dyDescent="0.15">
      <c r="B329" s="37" t="s">
        <v>459</v>
      </c>
      <c r="C329" s="37" t="s">
        <v>788</v>
      </c>
      <c r="D329" s="37" t="s">
        <v>967</v>
      </c>
      <c r="E329" s="37" t="s">
        <v>9</v>
      </c>
      <c r="F329" s="37" t="s">
        <v>10</v>
      </c>
      <c r="G329" s="37" t="s">
        <v>99</v>
      </c>
      <c r="H329" s="37">
        <v>9.6434999999999995</v>
      </c>
      <c r="K329" s="37">
        <v>280.5643</v>
      </c>
    </row>
    <row r="330" spans="2:13" x14ac:dyDescent="0.15">
      <c r="B330" s="37" t="s">
        <v>460</v>
      </c>
      <c r="C330" s="37" t="s">
        <v>788</v>
      </c>
      <c r="D330" s="37" t="s">
        <v>967</v>
      </c>
      <c r="E330" s="37" t="s">
        <v>9</v>
      </c>
      <c r="F330" s="37" t="s">
        <v>10</v>
      </c>
      <c r="G330" s="37" t="s">
        <v>99</v>
      </c>
      <c r="H330" s="37">
        <v>12.711499999999999</v>
      </c>
      <c r="K330" s="37">
        <v>374.43990000000002</v>
      </c>
    </row>
    <row r="331" spans="2:13" x14ac:dyDescent="0.15">
      <c r="B331" s="37" t="s">
        <v>462</v>
      </c>
      <c r="C331" s="37" t="s">
        <v>789</v>
      </c>
      <c r="D331" s="37" t="s">
        <v>981</v>
      </c>
      <c r="E331" s="37" t="s">
        <v>9</v>
      </c>
      <c r="F331" s="37" t="s">
        <v>64</v>
      </c>
      <c r="G331" s="37" t="s">
        <v>24</v>
      </c>
      <c r="J331" s="37">
        <v>0.624</v>
      </c>
      <c r="M331" s="37">
        <v>34.035699999999999</v>
      </c>
    </row>
    <row r="332" spans="2:13" x14ac:dyDescent="0.15">
      <c r="B332" s="37" t="s">
        <v>464</v>
      </c>
      <c r="C332" s="37" t="s">
        <v>790</v>
      </c>
      <c r="D332" s="37" t="s">
        <v>982</v>
      </c>
      <c r="E332" s="37" t="s">
        <v>9</v>
      </c>
      <c r="F332" s="37" t="s">
        <v>10</v>
      </c>
      <c r="G332" s="37" t="s">
        <v>37</v>
      </c>
      <c r="H332" s="37">
        <v>192.72300000000001</v>
      </c>
      <c r="I332" s="37">
        <v>183.24340000000001</v>
      </c>
      <c r="J332" s="37">
        <v>97.209599999999995</v>
      </c>
      <c r="K332" s="37">
        <v>7900.9691000000003</v>
      </c>
      <c r="L332" s="37">
        <v>6838.8454000000002</v>
      </c>
      <c r="M332" s="37">
        <v>3264.5805999999998</v>
      </c>
    </row>
    <row r="333" spans="2:13" x14ac:dyDescent="0.15">
      <c r="B333" s="37" t="s">
        <v>466</v>
      </c>
      <c r="C333" s="37" t="s">
        <v>791</v>
      </c>
      <c r="D333" s="37" t="s">
        <v>983</v>
      </c>
      <c r="E333" s="37" t="s">
        <v>9</v>
      </c>
      <c r="F333" s="37" t="s">
        <v>30</v>
      </c>
      <c r="G333" s="37" t="s">
        <v>376</v>
      </c>
      <c r="H333" s="37">
        <v>6.59E-2</v>
      </c>
      <c r="I333" s="37">
        <v>0.95820000000000005</v>
      </c>
      <c r="K333" s="37">
        <v>0.18509999999999999</v>
      </c>
      <c r="L333" s="37">
        <v>3.0327999999999999</v>
      </c>
    </row>
    <row r="334" spans="2:13" x14ac:dyDescent="0.15">
      <c r="B334" s="37" t="s">
        <v>467</v>
      </c>
      <c r="C334" s="37" t="s">
        <v>791</v>
      </c>
      <c r="D334" s="37" t="s">
        <v>983</v>
      </c>
      <c r="E334" s="37" t="s">
        <v>9</v>
      </c>
      <c r="F334" s="37" t="s">
        <v>30</v>
      </c>
      <c r="G334" s="37" t="s">
        <v>376</v>
      </c>
      <c r="H334" s="37">
        <v>5.1000000000000004E-3</v>
      </c>
      <c r="I334" s="37">
        <v>0.40570000000000001</v>
      </c>
      <c r="K334" s="37">
        <v>1.37E-2</v>
      </c>
      <c r="L334" s="37">
        <v>1.3527</v>
      </c>
    </row>
    <row r="335" spans="2:13" x14ac:dyDescent="0.15">
      <c r="B335" s="37" t="s">
        <v>468</v>
      </c>
      <c r="C335" s="37" t="s">
        <v>791</v>
      </c>
      <c r="D335" s="37" t="s">
        <v>983</v>
      </c>
      <c r="E335" s="37" t="s">
        <v>9</v>
      </c>
      <c r="F335" s="37" t="s">
        <v>30</v>
      </c>
      <c r="G335" s="37" t="s">
        <v>376</v>
      </c>
      <c r="H335" s="37">
        <v>0.1182</v>
      </c>
      <c r="I335" s="37">
        <v>1.0884</v>
      </c>
      <c r="K335" s="37">
        <v>0.31890000000000002</v>
      </c>
      <c r="L335" s="37">
        <v>3.3033999999999999</v>
      </c>
    </row>
    <row r="336" spans="2:13" x14ac:dyDescent="0.15">
      <c r="B336" s="37" t="s">
        <v>469</v>
      </c>
      <c r="C336" s="37" t="s">
        <v>791</v>
      </c>
      <c r="D336" s="37" t="s">
        <v>983</v>
      </c>
      <c r="E336" s="37" t="s">
        <v>9</v>
      </c>
      <c r="F336" s="37" t="s">
        <v>64</v>
      </c>
      <c r="G336" s="37" t="s">
        <v>376</v>
      </c>
      <c r="H336" s="37">
        <v>0.87180000000000002</v>
      </c>
      <c r="I336" s="37">
        <v>4.3999999999999997E-2</v>
      </c>
      <c r="K336" s="37">
        <v>8.5823999999999998</v>
      </c>
      <c r="L336" s="37">
        <v>0.58599999999999997</v>
      </c>
    </row>
    <row r="337" spans="2:13" x14ac:dyDescent="0.15">
      <c r="B337" s="37" t="s">
        <v>470</v>
      </c>
      <c r="C337" s="37" t="s">
        <v>791</v>
      </c>
      <c r="D337" s="37" t="s">
        <v>983</v>
      </c>
      <c r="E337" s="37" t="s">
        <v>9</v>
      </c>
      <c r="F337" s="37" t="s">
        <v>64</v>
      </c>
      <c r="G337" s="37" t="s">
        <v>376</v>
      </c>
      <c r="H337" s="37">
        <v>5.4508000000000001</v>
      </c>
      <c r="I337" s="37">
        <v>2.1189</v>
      </c>
      <c r="J337" s="37">
        <v>0.77749999999999997</v>
      </c>
      <c r="K337" s="37">
        <v>70.866600000000005</v>
      </c>
      <c r="L337" s="37">
        <v>26.7118</v>
      </c>
      <c r="M337" s="37">
        <v>8.9403000000000006</v>
      </c>
    </row>
    <row r="338" spans="2:13" x14ac:dyDescent="0.15">
      <c r="B338" s="37" t="s">
        <v>472</v>
      </c>
      <c r="C338" s="37" t="s">
        <v>791</v>
      </c>
      <c r="D338" s="37" t="s">
        <v>983</v>
      </c>
      <c r="E338" s="37" t="s">
        <v>9</v>
      </c>
      <c r="F338" s="37" t="s">
        <v>30</v>
      </c>
      <c r="G338" s="37" t="s">
        <v>118</v>
      </c>
      <c r="H338" s="37">
        <v>9.06E-2</v>
      </c>
      <c r="K338" s="37">
        <v>1.3372999999999999</v>
      </c>
    </row>
    <row r="339" spans="2:13" x14ac:dyDescent="0.15">
      <c r="B339" s="37" t="s">
        <v>473</v>
      </c>
      <c r="C339" s="37" t="s">
        <v>791</v>
      </c>
      <c r="D339" s="37" t="s">
        <v>983</v>
      </c>
      <c r="E339" s="37" t="s">
        <v>9</v>
      </c>
      <c r="F339" s="37" t="s">
        <v>10</v>
      </c>
      <c r="G339" s="37" t="s">
        <v>474</v>
      </c>
      <c r="H339" s="37">
        <v>1.3827</v>
      </c>
      <c r="I339" s="37">
        <v>0.7681</v>
      </c>
      <c r="J339" s="37">
        <v>2.3199999999999998E-2</v>
      </c>
      <c r="K339" s="37">
        <v>23.328099999999999</v>
      </c>
      <c r="L339" s="37">
        <v>13.2523</v>
      </c>
      <c r="M339" s="37">
        <v>0.52669999999999995</v>
      </c>
    </row>
    <row r="340" spans="2:13" x14ac:dyDescent="0.15">
      <c r="B340" s="37" t="s">
        <v>475</v>
      </c>
      <c r="C340" s="37" t="s">
        <v>791</v>
      </c>
      <c r="D340" s="37" t="s">
        <v>983</v>
      </c>
      <c r="E340" s="37" t="s">
        <v>9</v>
      </c>
      <c r="F340" s="37" t="s">
        <v>30</v>
      </c>
      <c r="G340" s="37" t="s">
        <v>476</v>
      </c>
      <c r="J340" s="37">
        <v>20.740400000000001</v>
      </c>
      <c r="M340" s="37">
        <v>310.0301</v>
      </c>
    </row>
    <row r="341" spans="2:13" x14ac:dyDescent="0.15">
      <c r="B341" s="37" t="s">
        <v>477</v>
      </c>
      <c r="C341" s="37" t="s">
        <v>791</v>
      </c>
      <c r="D341" s="37" t="s">
        <v>983</v>
      </c>
      <c r="E341" s="37" t="s">
        <v>9</v>
      </c>
      <c r="F341" s="37" t="s">
        <v>30</v>
      </c>
      <c r="G341" s="37" t="s">
        <v>476</v>
      </c>
      <c r="J341" s="37">
        <v>1.2435</v>
      </c>
      <c r="M341" s="37">
        <v>17.1813</v>
      </c>
    </row>
    <row r="342" spans="2:13" x14ac:dyDescent="0.15">
      <c r="B342" s="37" t="s">
        <v>478</v>
      </c>
      <c r="C342" s="37" t="s">
        <v>791</v>
      </c>
      <c r="D342" s="37" t="s">
        <v>983</v>
      </c>
      <c r="E342" s="37" t="s">
        <v>9</v>
      </c>
      <c r="F342" s="37" t="s">
        <v>30</v>
      </c>
      <c r="G342" s="37" t="s">
        <v>476</v>
      </c>
      <c r="H342" s="37">
        <v>4.0780000000000003</v>
      </c>
      <c r="I342" s="37">
        <v>35.126199999999997</v>
      </c>
      <c r="J342" s="37">
        <v>26.273900000000001</v>
      </c>
      <c r="K342" s="37">
        <v>71.718599999999995</v>
      </c>
      <c r="L342" s="37">
        <v>592.5693</v>
      </c>
      <c r="M342" s="37">
        <v>441.30500000000001</v>
      </c>
    </row>
    <row r="343" spans="2:13" x14ac:dyDescent="0.15">
      <c r="B343" s="37" t="s">
        <v>479</v>
      </c>
      <c r="C343" s="37" t="s">
        <v>791</v>
      </c>
      <c r="D343" s="37" t="s">
        <v>983</v>
      </c>
      <c r="E343" s="37" t="s">
        <v>9</v>
      </c>
      <c r="F343" s="37" t="s">
        <v>30</v>
      </c>
      <c r="G343" s="37" t="s">
        <v>476</v>
      </c>
      <c r="H343" s="37">
        <v>264.06810000000002</v>
      </c>
      <c r="I343" s="37">
        <v>329.44319999999999</v>
      </c>
      <c r="J343" s="37">
        <v>205.9486</v>
      </c>
      <c r="K343" s="37">
        <v>3958.0279</v>
      </c>
      <c r="L343" s="37">
        <v>5113.9928</v>
      </c>
      <c r="M343" s="37">
        <v>2876.5592000000001</v>
      </c>
    </row>
    <row r="344" spans="2:13" x14ac:dyDescent="0.15">
      <c r="B344" s="37" t="s">
        <v>481</v>
      </c>
      <c r="C344" s="37" t="s">
        <v>791</v>
      </c>
      <c r="D344" s="37" t="s">
        <v>983</v>
      </c>
      <c r="E344" s="37" t="s">
        <v>9</v>
      </c>
      <c r="F344" s="37" t="s">
        <v>30</v>
      </c>
      <c r="G344" s="37" t="s">
        <v>256</v>
      </c>
      <c r="H344" s="37">
        <v>8.5046999999999997</v>
      </c>
      <c r="I344" s="37">
        <v>12.872299999999999</v>
      </c>
      <c r="J344" s="37">
        <v>4.3821000000000003</v>
      </c>
      <c r="K344" s="37">
        <v>194.4057</v>
      </c>
      <c r="L344" s="37">
        <v>338.25259999999997</v>
      </c>
      <c r="M344" s="37">
        <v>110.48520000000001</v>
      </c>
    </row>
    <row r="345" spans="2:13" x14ac:dyDescent="0.15">
      <c r="B345" s="37" t="s">
        <v>482</v>
      </c>
      <c r="C345" s="37" t="s">
        <v>791</v>
      </c>
      <c r="D345" s="37" t="s">
        <v>983</v>
      </c>
      <c r="E345" s="37" t="s">
        <v>9</v>
      </c>
      <c r="F345" s="37" t="s">
        <v>30</v>
      </c>
      <c r="G345" s="37" t="s">
        <v>256</v>
      </c>
      <c r="H345" s="37">
        <v>171.4581</v>
      </c>
      <c r="I345" s="37">
        <v>146.56880000000001</v>
      </c>
      <c r="J345" s="37">
        <v>94.527100000000004</v>
      </c>
      <c r="K345" s="37">
        <v>5827.8176999999996</v>
      </c>
      <c r="L345" s="37">
        <v>5036.4476000000004</v>
      </c>
      <c r="M345" s="37">
        <v>3121.8564000000001</v>
      </c>
    </row>
    <row r="346" spans="2:13" x14ac:dyDescent="0.15">
      <c r="B346" s="37" t="s">
        <v>483</v>
      </c>
      <c r="C346" s="37" t="s">
        <v>791</v>
      </c>
      <c r="D346" s="37" t="s">
        <v>983</v>
      </c>
      <c r="E346" s="37" t="s">
        <v>9</v>
      </c>
      <c r="F346" s="37" t="s">
        <v>30</v>
      </c>
      <c r="G346" s="37" t="s">
        <v>256</v>
      </c>
      <c r="H346" s="37">
        <v>195.73400000000001</v>
      </c>
      <c r="I346" s="37">
        <v>242.5813</v>
      </c>
      <c r="J346" s="37">
        <v>163.20820000000001</v>
      </c>
      <c r="K346" s="37">
        <v>3936.1988000000001</v>
      </c>
      <c r="L346" s="37">
        <v>5003.2757000000001</v>
      </c>
      <c r="M346" s="37">
        <v>3062.0891000000001</v>
      </c>
    </row>
    <row r="347" spans="2:13" x14ac:dyDescent="0.15">
      <c r="B347" s="37" t="s">
        <v>484</v>
      </c>
      <c r="C347" s="37" t="s">
        <v>791</v>
      </c>
      <c r="D347" s="37" t="s">
        <v>983</v>
      </c>
      <c r="E347" s="37" t="s">
        <v>9</v>
      </c>
      <c r="F347" s="37" t="s">
        <v>30</v>
      </c>
      <c r="G347" s="37" t="s">
        <v>256</v>
      </c>
      <c r="H347" s="37">
        <v>0.2492</v>
      </c>
      <c r="I347" s="37">
        <v>5.8500000000000003E-2</v>
      </c>
      <c r="K347" s="37">
        <v>4.6970000000000001</v>
      </c>
      <c r="L347" s="37">
        <v>1.1557999999999999</v>
      </c>
    </row>
    <row r="348" spans="2:13" x14ac:dyDescent="0.15">
      <c r="B348" s="37" t="s">
        <v>485</v>
      </c>
      <c r="C348" s="37" t="s">
        <v>791</v>
      </c>
      <c r="D348" s="37" t="s">
        <v>983</v>
      </c>
      <c r="E348" s="37" t="s">
        <v>9</v>
      </c>
      <c r="F348" s="37" t="s">
        <v>30</v>
      </c>
      <c r="G348" s="37" t="s">
        <v>256</v>
      </c>
      <c r="H348" s="37">
        <v>0.97950000000000004</v>
      </c>
      <c r="K348" s="37">
        <v>23.239000000000001</v>
      </c>
    </row>
    <row r="349" spans="2:13" x14ac:dyDescent="0.15">
      <c r="B349" s="37" t="s">
        <v>486</v>
      </c>
      <c r="C349" s="37" t="s">
        <v>791</v>
      </c>
      <c r="D349" s="37" t="s">
        <v>983</v>
      </c>
      <c r="E349" s="37" t="s">
        <v>9</v>
      </c>
      <c r="F349" s="37" t="s">
        <v>30</v>
      </c>
      <c r="G349" s="37" t="s">
        <v>256</v>
      </c>
      <c r="H349" s="37">
        <v>1.0518000000000001</v>
      </c>
      <c r="K349" s="37">
        <v>15.4772</v>
      </c>
    </row>
    <row r="350" spans="2:13" x14ac:dyDescent="0.15">
      <c r="B350" s="37" t="s">
        <v>487</v>
      </c>
      <c r="C350" s="37" t="s">
        <v>791</v>
      </c>
      <c r="D350" s="37" t="s">
        <v>983</v>
      </c>
      <c r="E350" s="37" t="s">
        <v>9</v>
      </c>
      <c r="F350" s="37" t="s">
        <v>30</v>
      </c>
      <c r="G350" s="37" t="s">
        <v>256</v>
      </c>
      <c r="H350" s="37">
        <v>1.23</v>
      </c>
      <c r="I350" s="37">
        <v>5.5100000000000003E-2</v>
      </c>
      <c r="K350" s="37">
        <v>22.518699999999999</v>
      </c>
      <c r="L350" s="37">
        <v>1.0911</v>
      </c>
    </row>
    <row r="351" spans="2:13" x14ac:dyDescent="0.15">
      <c r="B351" s="37" t="s">
        <v>488</v>
      </c>
      <c r="C351" s="37" t="s">
        <v>791</v>
      </c>
      <c r="D351" s="37" t="s">
        <v>983</v>
      </c>
      <c r="E351" s="37" t="s">
        <v>9</v>
      </c>
      <c r="F351" s="37" t="s">
        <v>30</v>
      </c>
      <c r="G351" s="37" t="s">
        <v>256</v>
      </c>
      <c r="H351" s="37">
        <v>0.64070000000000005</v>
      </c>
      <c r="K351" s="37">
        <v>15.170299999999999</v>
      </c>
    </row>
    <row r="352" spans="2:13" x14ac:dyDescent="0.15">
      <c r="B352" s="37" t="s">
        <v>489</v>
      </c>
      <c r="C352" s="37" t="s">
        <v>791</v>
      </c>
      <c r="D352" s="37" t="s">
        <v>983</v>
      </c>
      <c r="E352" s="37" t="s">
        <v>9</v>
      </c>
      <c r="F352" s="37" t="s">
        <v>30</v>
      </c>
      <c r="G352" s="37" t="s">
        <v>256</v>
      </c>
      <c r="H352" s="37">
        <v>0.8125</v>
      </c>
      <c r="I352" s="37">
        <v>2.2100000000000002E-2</v>
      </c>
      <c r="K352" s="37">
        <v>14.451000000000001</v>
      </c>
      <c r="L352" s="37">
        <v>0.38290000000000002</v>
      </c>
    </row>
    <row r="353" spans="2:13" x14ac:dyDescent="0.15">
      <c r="B353" s="37" t="s">
        <v>490</v>
      </c>
      <c r="C353" s="37" t="s">
        <v>791</v>
      </c>
      <c r="D353" s="37" t="s">
        <v>983</v>
      </c>
      <c r="E353" s="37" t="s">
        <v>9</v>
      </c>
      <c r="F353" s="37" t="s">
        <v>30</v>
      </c>
      <c r="G353" s="37" t="s">
        <v>256</v>
      </c>
      <c r="H353" s="37">
        <v>0.40889999999999999</v>
      </c>
      <c r="I353" s="37">
        <v>7.7899999999999997E-2</v>
      </c>
      <c r="K353" s="37">
        <v>9.6999999999999993</v>
      </c>
      <c r="L353" s="37">
        <v>1.9962</v>
      </c>
    </row>
    <row r="354" spans="2:13" x14ac:dyDescent="0.15">
      <c r="B354" s="37" t="s">
        <v>491</v>
      </c>
      <c r="C354" s="37" t="s">
        <v>791</v>
      </c>
      <c r="D354" s="37" t="s">
        <v>983</v>
      </c>
      <c r="E354" s="37" t="s">
        <v>9</v>
      </c>
      <c r="F354" s="37" t="s">
        <v>30</v>
      </c>
      <c r="G354" s="37" t="s">
        <v>256</v>
      </c>
      <c r="H354" s="37">
        <v>1.716</v>
      </c>
      <c r="K354" s="37">
        <v>43.815600000000003</v>
      </c>
    </row>
    <row r="355" spans="2:13" x14ac:dyDescent="0.15">
      <c r="B355" s="37" t="s">
        <v>492</v>
      </c>
      <c r="C355" s="37" t="s">
        <v>791</v>
      </c>
      <c r="D355" s="37" t="s">
        <v>983</v>
      </c>
      <c r="E355" s="37" t="s">
        <v>9</v>
      </c>
      <c r="F355" s="37" t="s">
        <v>30</v>
      </c>
      <c r="G355" s="37" t="s">
        <v>256</v>
      </c>
      <c r="H355" s="37">
        <v>0.17050000000000001</v>
      </c>
      <c r="I355" s="37">
        <v>7.7700000000000005E-2</v>
      </c>
      <c r="K355" s="37">
        <v>3.5674000000000001</v>
      </c>
      <c r="L355" s="37">
        <v>1.7087000000000001</v>
      </c>
    </row>
    <row r="356" spans="2:13" x14ac:dyDescent="0.15">
      <c r="B356" s="37" t="s">
        <v>493</v>
      </c>
      <c r="C356" s="37" t="s">
        <v>791</v>
      </c>
      <c r="D356" s="37" t="s">
        <v>983</v>
      </c>
      <c r="E356" s="37" t="s">
        <v>9</v>
      </c>
      <c r="F356" s="37" t="s">
        <v>30</v>
      </c>
      <c r="G356" s="37" t="s">
        <v>256</v>
      </c>
      <c r="H356" s="37">
        <v>1.5501</v>
      </c>
      <c r="I356" s="37">
        <v>0.42659999999999998</v>
      </c>
      <c r="J356" s="37">
        <v>0.12859999999999999</v>
      </c>
      <c r="K356" s="37">
        <v>28.959800000000001</v>
      </c>
      <c r="L356" s="37">
        <v>8.7736999999999998</v>
      </c>
      <c r="M356" s="37">
        <v>2.5320999999999998</v>
      </c>
    </row>
    <row r="357" spans="2:13" x14ac:dyDescent="0.15">
      <c r="B357" s="37" t="s">
        <v>494</v>
      </c>
      <c r="C357" s="37" t="s">
        <v>791</v>
      </c>
      <c r="D357" s="37" t="s">
        <v>983</v>
      </c>
      <c r="E357" s="37" t="s">
        <v>9</v>
      </c>
      <c r="F357" s="37" t="s">
        <v>30</v>
      </c>
      <c r="G357" s="37" t="s">
        <v>256</v>
      </c>
      <c r="H357" s="37">
        <v>0.83640000000000003</v>
      </c>
      <c r="I357" s="37">
        <v>0.51139999999999997</v>
      </c>
      <c r="K357" s="37">
        <v>18.6389</v>
      </c>
      <c r="L357" s="37">
        <v>9.5508000000000006</v>
      </c>
    </row>
    <row r="358" spans="2:13" x14ac:dyDescent="0.15">
      <c r="B358" s="37" t="s">
        <v>495</v>
      </c>
      <c r="C358" s="37" t="s">
        <v>791</v>
      </c>
      <c r="D358" s="37" t="s">
        <v>983</v>
      </c>
      <c r="E358" s="37" t="s">
        <v>9</v>
      </c>
      <c r="F358" s="37" t="s">
        <v>30</v>
      </c>
      <c r="G358" s="37" t="s">
        <v>256</v>
      </c>
      <c r="H358" s="37">
        <v>0.72089999999999999</v>
      </c>
      <c r="K358" s="37">
        <v>9.8262</v>
      </c>
    </row>
    <row r="359" spans="2:13" x14ac:dyDescent="0.15">
      <c r="B359" s="37" t="s">
        <v>496</v>
      </c>
      <c r="C359" s="37" t="s">
        <v>791</v>
      </c>
      <c r="D359" s="37" t="s">
        <v>983</v>
      </c>
      <c r="E359" s="37" t="s">
        <v>9</v>
      </c>
      <c r="F359" s="37" t="s">
        <v>30</v>
      </c>
      <c r="G359" s="37" t="s">
        <v>256</v>
      </c>
      <c r="H359" s="37">
        <v>0.48470000000000002</v>
      </c>
      <c r="K359" s="37">
        <v>10.088699999999999</v>
      </c>
    </row>
    <row r="360" spans="2:13" x14ac:dyDescent="0.15">
      <c r="B360" s="37" t="s">
        <v>497</v>
      </c>
      <c r="C360" s="37" t="s">
        <v>791</v>
      </c>
      <c r="D360" s="37" t="s">
        <v>983</v>
      </c>
      <c r="E360" s="37" t="s">
        <v>9</v>
      </c>
      <c r="F360" s="37" t="s">
        <v>30</v>
      </c>
      <c r="G360" s="37" t="s">
        <v>256</v>
      </c>
      <c r="H360" s="37">
        <v>1.3634999999999999</v>
      </c>
      <c r="I360" s="37">
        <v>2.1999999999999999E-2</v>
      </c>
      <c r="K360" s="37">
        <v>21.971299999999999</v>
      </c>
      <c r="L360" s="37">
        <v>0.34660000000000002</v>
      </c>
    </row>
    <row r="361" spans="2:13" x14ac:dyDescent="0.15">
      <c r="B361" s="37" t="s">
        <v>498</v>
      </c>
      <c r="C361" s="37" t="s">
        <v>791</v>
      </c>
      <c r="D361" s="37" t="s">
        <v>983</v>
      </c>
      <c r="E361" s="37" t="s">
        <v>9</v>
      </c>
      <c r="F361" s="37" t="s">
        <v>30</v>
      </c>
      <c r="G361" s="37" t="s">
        <v>256</v>
      </c>
      <c r="H361" s="37">
        <v>0.2001</v>
      </c>
      <c r="K361" s="37">
        <v>3.1530999999999998</v>
      </c>
    </row>
    <row r="362" spans="2:13" x14ac:dyDescent="0.15">
      <c r="B362" s="37" t="s">
        <v>499</v>
      </c>
      <c r="C362" s="37" t="s">
        <v>791</v>
      </c>
      <c r="D362" s="37" t="s">
        <v>983</v>
      </c>
      <c r="E362" s="37" t="s">
        <v>9</v>
      </c>
      <c r="F362" s="37" t="s">
        <v>30</v>
      </c>
      <c r="G362" s="37" t="s">
        <v>256</v>
      </c>
      <c r="H362" s="37">
        <v>0.30409999999999998</v>
      </c>
      <c r="K362" s="37">
        <v>4.4311999999999996</v>
      </c>
    </row>
    <row r="363" spans="2:13" x14ac:dyDescent="0.15">
      <c r="B363" s="37" t="s">
        <v>500</v>
      </c>
      <c r="C363" s="37" t="s">
        <v>791</v>
      </c>
      <c r="D363" s="37" t="s">
        <v>983</v>
      </c>
      <c r="E363" s="37" t="s">
        <v>9</v>
      </c>
      <c r="F363" s="37" t="s">
        <v>30</v>
      </c>
      <c r="G363" s="37" t="s">
        <v>256</v>
      </c>
      <c r="H363" s="37">
        <v>1.4756</v>
      </c>
      <c r="I363" s="37">
        <v>0.29549999999999998</v>
      </c>
      <c r="J363" s="37">
        <v>0.13869999999999999</v>
      </c>
      <c r="K363" s="37">
        <v>38.575499999999998</v>
      </c>
      <c r="L363" s="37">
        <v>5.6929999999999996</v>
      </c>
      <c r="M363" s="37">
        <v>2.5320999999999998</v>
      </c>
    </row>
    <row r="364" spans="2:13" x14ac:dyDescent="0.15">
      <c r="B364" s="37" t="s">
        <v>501</v>
      </c>
      <c r="C364" s="37" t="s">
        <v>791</v>
      </c>
      <c r="D364" s="37" t="s">
        <v>983</v>
      </c>
      <c r="E364" s="37" t="s">
        <v>9</v>
      </c>
      <c r="F364" s="37" t="s">
        <v>30</v>
      </c>
      <c r="G364" s="37" t="s">
        <v>256</v>
      </c>
      <c r="H364" s="37">
        <v>0.92279999999999995</v>
      </c>
      <c r="K364" s="37">
        <v>21.822199999999999</v>
      </c>
    </row>
    <row r="365" spans="2:13" x14ac:dyDescent="0.15">
      <c r="B365" s="37" t="s">
        <v>502</v>
      </c>
      <c r="C365" s="37" t="s">
        <v>791</v>
      </c>
      <c r="D365" s="37" t="s">
        <v>983</v>
      </c>
      <c r="E365" s="37" t="s">
        <v>9</v>
      </c>
      <c r="F365" s="37" t="s">
        <v>30</v>
      </c>
      <c r="G365" s="37" t="s">
        <v>256</v>
      </c>
      <c r="H365" s="37">
        <v>105.723</v>
      </c>
      <c r="I365" s="37">
        <v>231.39109999999999</v>
      </c>
      <c r="J365" s="37">
        <v>190.30779999999999</v>
      </c>
      <c r="K365" s="37">
        <v>3632.1455999999998</v>
      </c>
      <c r="L365" s="37">
        <v>7878.6941999999999</v>
      </c>
      <c r="M365" s="37">
        <v>6167.0902999999998</v>
      </c>
    </row>
    <row r="366" spans="2:13" x14ac:dyDescent="0.15">
      <c r="B366" s="37" t="s">
        <v>503</v>
      </c>
      <c r="C366" s="37" t="s">
        <v>791</v>
      </c>
      <c r="D366" s="37" t="s">
        <v>983</v>
      </c>
      <c r="E366" s="37" t="s">
        <v>9</v>
      </c>
      <c r="F366" s="37" t="s">
        <v>30</v>
      </c>
      <c r="G366" s="37" t="s">
        <v>256</v>
      </c>
      <c r="H366" s="37">
        <v>0.97140000000000004</v>
      </c>
      <c r="I366" s="37">
        <v>3.1E-2</v>
      </c>
      <c r="K366" s="37">
        <v>22.952100000000002</v>
      </c>
      <c r="L366" s="37">
        <v>0.70540000000000003</v>
      </c>
    </row>
    <row r="367" spans="2:13" x14ac:dyDescent="0.15">
      <c r="B367" s="37" t="s">
        <v>504</v>
      </c>
      <c r="C367" s="37" t="s">
        <v>791</v>
      </c>
      <c r="D367" s="37" t="s">
        <v>983</v>
      </c>
      <c r="E367" s="37" t="s">
        <v>9</v>
      </c>
      <c r="F367" s="37" t="s">
        <v>30</v>
      </c>
      <c r="G367" s="37" t="s">
        <v>256</v>
      </c>
      <c r="H367" s="37">
        <v>0.23680000000000001</v>
      </c>
      <c r="K367" s="37">
        <v>4.3052000000000001</v>
      </c>
    </row>
    <row r="368" spans="2:13" x14ac:dyDescent="0.15">
      <c r="B368" s="37" t="s">
        <v>505</v>
      </c>
      <c r="C368" s="37" t="s">
        <v>791</v>
      </c>
      <c r="D368" s="37" t="s">
        <v>983</v>
      </c>
      <c r="E368" s="37" t="s">
        <v>9</v>
      </c>
      <c r="F368" s="37" t="s">
        <v>64</v>
      </c>
      <c r="G368" s="37" t="s">
        <v>256</v>
      </c>
      <c r="H368" s="37">
        <v>40.155500000000004</v>
      </c>
      <c r="I368" s="37">
        <v>53.039099999999998</v>
      </c>
      <c r="J368" s="37">
        <v>19.640599999999999</v>
      </c>
      <c r="K368" s="37">
        <v>809.24120000000005</v>
      </c>
      <c r="L368" s="37">
        <v>1117.5988</v>
      </c>
      <c r="M368" s="37">
        <v>353.57029999999997</v>
      </c>
    </row>
    <row r="369" spans="2:13" x14ac:dyDescent="0.15">
      <c r="B369" s="37" t="s">
        <v>506</v>
      </c>
      <c r="C369" s="37" t="s">
        <v>791</v>
      </c>
      <c r="D369" s="37" t="s">
        <v>983</v>
      </c>
      <c r="E369" s="37" t="s">
        <v>9</v>
      </c>
      <c r="F369" s="37" t="s">
        <v>64</v>
      </c>
      <c r="G369" s="37" t="s">
        <v>256</v>
      </c>
      <c r="H369" s="37">
        <v>124.0141</v>
      </c>
      <c r="I369" s="37">
        <v>119.1621</v>
      </c>
      <c r="J369" s="37">
        <v>72.991100000000003</v>
      </c>
      <c r="K369" s="37">
        <v>4179.8078999999998</v>
      </c>
      <c r="L369" s="37">
        <v>4057.9854</v>
      </c>
      <c r="M369" s="37">
        <v>2439.5360000000001</v>
      </c>
    </row>
    <row r="370" spans="2:13" x14ac:dyDescent="0.15">
      <c r="B370" s="37" t="s">
        <v>507</v>
      </c>
      <c r="C370" s="37" t="s">
        <v>791</v>
      </c>
      <c r="D370" s="37" t="s">
        <v>983</v>
      </c>
      <c r="E370" s="37" t="s">
        <v>9</v>
      </c>
      <c r="F370" s="37" t="s">
        <v>64</v>
      </c>
      <c r="G370" s="37" t="s">
        <v>256</v>
      </c>
      <c r="H370" s="37">
        <v>126.2456</v>
      </c>
      <c r="I370" s="37">
        <v>161.7927</v>
      </c>
      <c r="J370" s="37">
        <v>82.616799999999998</v>
      </c>
      <c r="K370" s="37">
        <v>2585.6873000000001</v>
      </c>
      <c r="L370" s="37">
        <v>3416.431</v>
      </c>
      <c r="M370" s="37">
        <v>1611.8206</v>
      </c>
    </row>
    <row r="371" spans="2:13" x14ac:dyDescent="0.15">
      <c r="B371" s="37" t="s">
        <v>508</v>
      </c>
      <c r="C371" s="37" t="s">
        <v>791</v>
      </c>
      <c r="D371" s="37" t="s">
        <v>983</v>
      </c>
      <c r="E371" s="37" t="s">
        <v>9</v>
      </c>
      <c r="F371" s="37" t="s">
        <v>64</v>
      </c>
      <c r="G371" s="37" t="s">
        <v>256</v>
      </c>
      <c r="H371" s="37">
        <v>95.148099999999999</v>
      </c>
      <c r="I371" s="37">
        <v>213.16730000000001</v>
      </c>
      <c r="J371" s="37">
        <v>155.60400000000001</v>
      </c>
      <c r="K371" s="37">
        <v>3171.4767999999999</v>
      </c>
      <c r="L371" s="37">
        <v>7264.2154</v>
      </c>
      <c r="M371" s="37">
        <v>5013.7686000000003</v>
      </c>
    </row>
    <row r="372" spans="2:13" x14ac:dyDescent="0.15">
      <c r="B372" s="37" t="s">
        <v>509</v>
      </c>
      <c r="C372" s="37" t="s">
        <v>791</v>
      </c>
      <c r="D372" s="37" t="s">
        <v>983</v>
      </c>
      <c r="E372" s="37" t="s">
        <v>9</v>
      </c>
      <c r="F372" s="37" t="s">
        <v>64</v>
      </c>
      <c r="G372" s="37" t="s">
        <v>363</v>
      </c>
      <c r="H372" s="37">
        <v>19.249199999999998</v>
      </c>
      <c r="I372" s="37">
        <v>1.4004000000000001</v>
      </c>
      <c r="K372" s="37">
        <v>316.69850000000002</v>
      </c>
      <c r="L372" s="37">
        <v>25.215900000000001</v>
      </c>
    </row>
    <row r="373" spans="2:13" x14ac:dyDescent="0.15">
      <c r="B373" s="37" t="s">
        <v>510</v>
      </c>
      <c r="C373" s="37" t="s">
        <v>791</v>
      </c>
      <c r="D373" s="37" t="s">
        <v>983</v>
      </c>
      <c r="E373" s="37" t="s">
        <v>9</v>
      </c>
      <c r="F373" s="37" t="s">
        <v>64</v>
      </c>
      <c r="G373" s="37" t="s">
        <v>34</v>
      </c>
      <c r="H373" s="37">
        <v>0.76639999999999997</v>
      </c>
      <c r="I373" s="37">
        <v>3.6499999999999998E-2</v>
      </c>
      <c r="K373" s="37">
        <v>14.48</v>
      </c>
      <c r="L373" s="37">
        <v>0.67200000000000004</v>
      </c>
    </row>
    <row r="374" spans="2:13" x14ac:dyDescent="0.15">
      <c r="B374" s="37" t="s">
        <v>511</v>
      </c>
      <c r="C374" s="37" t="s">
        <v>791</v>
      </c>
      <c r="D374" s="37" t="s">
        <v>983</v>
      </c>
      <c r="E374" s="37" t="s">
        <v>9</v>
      </c>
      <c r="F374" s="37" t="s">
        <v>64</v>
      </c>
      <c r="G374" s="37" t="s">
        <v>34</v>
      </c>
      <c r="H374" s="37">
        <v>0.17649999999999999</v>
      </c>
      <c r="K374" s="37">
        <v>2.9144999999999999</v>
      </c>
    </row>
    <row r="375" spans="2:13" x14ac:dyDescent="0.15">
      <c r="B375" s="37" t="s">
        <v>512</v>
      </c>
      <c r="C375" s="37" t="s">
        <v>791</v>
      </c>
      <c r="D375" s="37" t="s">
        <v>983</v>
      </c>
      <c r="E375" s="37" t="s">
        <v>9</v>
      </c>
      <c r="F375" s="37" t="s">
        <v>64</v>
      </c>
      <c r="G375" s="37" t="s">
        <v>34</v>
      </c>
      <c r="H375" s="37">
        <v>3.9998</v>
      </c>
      <c r="I375" s="37">
        <v>2.0327000000000002</v>
      </c>
      <c r="J375" s="37">
        <v>0.44619999999999999</v>
      </c>
      <c r="K375" s="37">
        <v>76.599100000000007</v>
      </c>
      <c r="L375" s="37">
        <v>45.206499999999998</v>
      </c>
      <c r="M375" s="37">
        <v>9.7993000000000006</v>
      </c>
    </row>
    <row r="376" spans="2:13" x14ac:dyDescent="0.15">
      <c r="B376" s="37" t="s">
        <v>513</v>
      </c>
      <c r="C376" s="37" t="s">
        <v>791</v>
      </c>
      <c r="D376" s="37" t="s">
        <v>983</v>
      </c>
      <c r="E376" s="37" t="s">
        <v>9</v>
      </c>
      <c r="F376" s="37" t="s">
        <v>64</v>
      </c>
      <c r="G376" s="37" t="s">
        <v>34</v>
      </c>
      <c r="H376" s="37">
        <v>3.4256000000000002</v>
      </c>
      <c r="I376" s="37">
        <v>0.1051</v>
      </c>
      <c r="K376" s="37">
        <v>52.9163</v>
      </c>
      <c r="L376" s="37">
        <v>1.5987</v>
      </c>
    </row>
    <row r="377" spans="2:13" x14ac:dyDescent="0.15">
      <c r="B377" s="37" t="s">
        <v>514</v>
      </c>
      <c r="C377" s="37" t="s">
        <v>791</v>
      </c>
      <c r="D377" s="37" t="s">
        <v>983</v>
      </c>
      <c r="E377" s="37" t="s">
        <v>9</v>
      </c>
      <c r="F377" s="37" t="s">
        <v>64</v>
      </c>
      <c r="G377" s="37" t="s">
        <v>34</v>
      </c>
      <c r="H377" s="37">
        <v>2.7799999999999998E-2</v>
      </c>
      <c r="K377" s="37">
        <v>0.59</v>
      </c>
    </row>
    <row r="378" spans="2:13" x14ac:dyDescent="0.15">
      <c r="B378" s="37" t="s">
        <v>515</v>
      </c>
      <c r="C378" s="37" t="s">
        <v>791</v>
      </c>
      <c r="D378" s="37" t="s">
        <v>983</v>
      </c>
      <c r="E378" s="37" t="s">
        <v>9</v>
      </c>
      <c r="F378" s="37" t="s">
        <v>64</v>
      </c>
      <c r="G378" s="37" t="s">
        <v>34</v>
      </c>
      <c r="H378" s="37">
        <v>2.0205000000000002</v>
      </c>
      <c r="I378" s="37">
        <v>6.1100000000000002E-2</v>
      </c>
      <c r="J378" s="37">
        <v>4.3E-3</v>
      </c>
      <c r="K378" s="37">
        <v>30.746600000000001</v>
      </c>
      <c r="L378" s="37">
        <v>0.89600000000000002</v>
      </c>
      <c r="M378" s="37">
        <v>5.6000000000000001E-2</v>
      </c>
    </row>
    <row r="379" spans="2:13" x14ac:dyDescent="0.15">
      <c r="B379" s="37" t="s">
        <v>517</v>
      </c>
      <c r="C379" s="37" t="s">
        <v>791</v>
      </c>
      <c r="D379" s="37" t="s">
        <v>983</v>
      </c>
      <c r="E379" s="37" t="s">
        <v>9</v>
      </c>
      <c r="F379" s="37" t="s">
        <v>64</v>
      </c>
      <c r="G379" s="37" t="s">
        <v>34</v>
      </c>
      <c r="H379" s="37">
        <v>2.1128999999999998</v>
      </c>
      <c r="I379" s="37">
        <v>3.0200000000000001E-2</v>
      </c>
      <c r="K379" s="37">
        <v>32.116500000000002</v>
      </c>
      <c r="L379" s="37">
        <v>0.44800000000000001</v>
      </c>
    </row>
    <row r="380" spans="2:13" x14ac:dyDescent="0.15">
      <c r="B380" s="37" t="s">
        <v>519</v>
      </c>
      <c r="C380" s="37" t="s">
        <v>791</v>
      </c>
      <c r="D380" s="37" t="s">
        <v>983</v>
      </c>
      <c r="E380" s="37" t="s">
        <v>9</v>
      </c>
      <c r="F380" s="37" t="s">
        <v>64</v>
      </c>
      <c r="G380" s="37" t="s">
        <v>34</v>
      </c>
      <c r="H380" s="37">
        <v>0.03</v>
      </c>
      <c r="I380" s="37">
        <v>5.8999999999999999E-3</v>
      </c>
      <c r="K380" s="37">
        <v>0.67200000000000004</v>
      </c>
      <c r="L380" s="37">
        <v>0.16800000000000001</v>
      </c>
    </row>
    <row r="381" spans="2:13" x14ac:dyDescent="0.15">
      <c r="B381" s="37" t="s">
        <v>520</v>
      </c>
      <c r="C381" s="37" t="s">
        <v>791</v>
      </c>
      <c r="D381" s="37" t="s">
        <v>983</v>
      </c>
      <c r="E381" s="37" t="s">
        <v>9</v>
      </c>
      <c r="F381" s="37" t="s">
        <v>64</v>
      </c>
      <c r="G381" s="37" t="s">
        <v>34</v>
      </c>
      <c r="H381" s="37">
        <v>3.5200000000000002E-2</v>
      </c>
      <c r="K381" s="37">
        <v>0.65949999999999998</v>
      </c>
    </row>
    <row r="382" spans="2:13" x14ac:dyDescent="0.15">
      <c r="B382" s="37" t="s">
        <v>521</v>
      </c>
      <c r="C382" s="37" t="s">
        <v>791</v>
      </c>
      <c r="D382" s="37" t="s">
        <v>983</v>
      </c>
      <c r="E382" s="37" t="s">
        <v>9</v>
      </c>
      <c r="F382" s="37" t="s">
        <v>64</v>
      </c>
      <c r="G382" s="37" t="s">
        <v>34</v>
      </c>
      <c r="H382" s="37">
        <v>0.17460000000000001</v>
      </c>
      <c r="I382" s="37">
        <v>5.2699999999999997E-2</v>
      </c>
      <c r="J382" s="37">
        <v>1.09E-2</v>
      </c>
      <c r="K382" s="37">
        <v>3.8159000000000001</v>
      </c>
      <c r="L382" s="37">
        <v>1.4</v>
      </c>
      <c r="M382" s="37">
        <v>0.28000000000000003</v>
      </c>
    </row>
    <row r="383" spans="2:13" x14ac:dyDescent="0.15">
      <c r="B383" s="37" t="s">
        <v>523</v>
      </c>
      <c r="C383" s="37" t="s">
        <v>791</v>
      </c>
      <c r="D383" s="37" t="s">
        <v>983</v>
      </c>
      <c r="E383" s="37" t="s">
        <v>9</v>
      </c>
      <c r="F383" s="37" t="s">
        <v>64</v>
      </c>
      <c r="G383" s="37" t="s">
        <v>34</v>
      </c>
      <c r="H383" s="37">
        <v>1.0412999999999999</v>
      </c>
      <c r="K383" s="37">
        <v>23.5031</v>
      </c>
    </row>
    <row r="384" spans="2:13" x14ac:dyDescent="0.15">
      <c r="B384" s="37" t="s">
        <v>524</v>
      </c>
      <c r="C384" s="37" t="s">
        <v>791</v>
      </c>
      <c r="D384" s="37" t="s">
        <v>983</v>
      </c>
      <c r="E384" s="37" t="s">
        <v>9</v>
      </c>
      <c r="F384" s="37" t="s">
        <v>64</v>
      </c>
      <c r="G384" s="37" t="s">
        <v>34</v>
      </c>
      <c r="H384" s="37">
        <v>3.8100000000000002E-2</v>
      </c>
      <c r="I384" s="37">
        <v>7.4000000000000003E-3</v>
      </c>
      <c r="J384" s="37">
        <v>1.11E-2</v>
      </c>
      <c r="K384" s="37">
        <v>0.67200000000000004</v>
      </c>
      <c r="L384" s="37">
        <v>0.112</v>
      </c>
      <c r="M384" s="37">
        <v>0.16800000000000001</v>
      </c>
    </row>
    <row r="385" spans="2:13" x14ac:dyDescent="0.15">
      <c r="B385" s="37" t="s">
        <v>525</v>
      </c>
      <c r="C385" s="37" t="s">
        <v>791</v>
      </c>
      <c r="D385" s="37" t="s">
        <v>983</v>
      </c>
      <c r="E385" s="37" t="s">
        <v>9</v>
      </c>
      <c r="F385" s="37" t="s">
        <v>64</v>
      </c>
      <c r="G385" s="37" t="s">
        <v>34</v>
      </c>
      <c r="H385" s="37">
        <v>1.0855999999999999</v>
      </c>
      <c r="I385" s="37">
        <v>0.58120000000000005</v>
      </c>
      <c r="K385" s="37">
        <v>19.170200000000001</v>
      </c>
      <c r="L385" s="37">
        <v>10.2963</v>
      </c>
    </row>
    <row r="386" spans="2:13" x14ac:dyDescent="0.15">
      <c r="B386" s="37" t="s">
        <v>526</v>
      </c>
      <c r="C386" s="37" t="s">
        <v>791</v>
      </c>
      <c r="D386" s="37" t="s">
        <v>983</v>
      </c>
      <c r="E386" s="37" t="s">
        <v>9</v>
      </c>
      <c r="F386" s="37" t="s">
        <v>64</v>
      </c>
      <c r="G386" s="37" t="s">
        <v>34</v>
      </c>
      <c r="H386" s="37">
        <v>0.72109999999999996</v>
      </c>
      <c r="I386" s="37">
        <v>5.3105000000000002</v>
      </c>
      <c r="K386" s="37">
        <v>13.8162</v>
      </c>
      <c r="L386" s="37">
        <v>130.43450000000001</v>
      </c>
    </row>
    <row r="387" spans="2:13" x14ac:dyDescent="0.15">
      <c r="B387" s="37" t="s">
        <v>527</v>
      </c>
      <c r="C387" s="37" t="s">
        <v>791</v>
      </c>
      <c r="D387" s="37" t="s">
        <v>983</v>
      </c>
      <c r="E387" s="37" t="s">
        <v>9</v>
      </c>
      <c r="F387" s="37" t="s">
        <v>64</v>
      </c>
      <c r="G387" s="37" t="s">
        <v>34</v>
      </c>
      <c r="H387" s="37">
        <v>0.80620000000000003</v>
      </c>
      <c r="K387" s="37">
        <v>18.060500000000001</v>
      </c>
    </row>
    <row r="388" spans="2:13" x14ac:dyDescent="0.15">
      <c r="B388" s="37" t="s">
        <v>528</v>
      </c>
      <c r="C388" s="37" t="s">
        <v>791</v>
      </c>
      <c r="D388" s="37" t="s">
        <v>983</v>
      </c>
      <c r="E388" s="37" t="s">
        <v>9</v>
      </c>
      <c r="F388" s="37" t="s">
        <v>30</v>
      </c>
      <c r="G388" s="37" t="s">
        <v>37</v>
      </c>
      <c r="H388" s="37">
        <v>15.5359</v>
      </c>
      <c r="I388" s="37">
        <v>0.67789999999999995</v>
      </c>
      <c r="K388" s="37">
        <v>345.3125</v>
      </c>
      <c r="L388" s="37">
        <v>13.0631</v>
      </c>
    </row>
    <row r="389" spans="2:13" x14ac:dyDescent="0.15">
      <c r="B389" s="37" t="s">
        <v>529</v>
      </c>
      <c r="C389" s="37" t="s">
        <v>791</v>
      </c>
      <c r="D389" s="37" t="s">
        <v>983</v>
      </c>
      <c r="E389" s="37" t="s">
        <v>9</v>
      </c>
      <c r="F389" s="37" t="s">
        <v>10</v>
      </c>
      <c r="G389" s="37" t="s">
        <v>37</v>
      </c>
      <c r="H389" s="37">
        <v>0.33579999999999999</v>
      </c>
      <c r="K389" s="37">
        <v>9.1472999999999995</v>
      </c>
    </row>
    <row r="390" spans="2:13" x14ac:dyDescent="0.15">
      <c r="B390" s="37" t="s">
        <v>530</v>
      </c>
      <c r="C390" s="37" t="s">
        <v>791</v>
      </c>
      <c r="D390" s="37" t="s">
        <v>983</v>
      </c>
      <c r="E390" s="37" t="s">
        <v>9</v>
      </c>
      <c r="F390" s="37" t="s">
        <v>10</v>
      </c>
      <c r="G390" s="37" t="s">
        <v>37</v>
      </c>
      <c r="H390" s="37">
        <v>27.901900000000001</v>
      </c>
      <c r="I390" s="37">
        <v>8.1903000000000006</v>
      </c>
      <c r="J390" s="37">
        <v>0.88470000000000004</v>
      </c>
      <c r="K390" s="37">
        <v>618.1096</v>
      </c>
      <c r="L390" s="37">
        <v>185.2071</v>
      </c>
      <c r="M390" s="37">
        <v>18.353999999999999</v>
      </c>
    </row>
    <row r="391" spans="2:13" x14ac:dyDescent="0.15">
      <c r="B391" s="37" t="s">
        <v>531</v>
      </c>
      <c r="C391" s="37" t="s">
        <v>791</v>
      </c>
      <c r="D391" s="37" t="s">
        <v>983</v>
      </c>
      <c r="E391" s="37" t="s">
        <v>9</v>
      </c>
      <c r="F391" s="37" t="s">
        <v>10</v>
      </c>
      <c r="G391" s="37" t="s">
        <v>37</v>
      </c>
      <c r="H391" s="37">
        <v>2.58E-2</v>
      </c>
      <c r="I391" s="37">
        <v>7.9000000000000008E-3</v>
      </c>
      <c r="K391" s="37">
        <v>0.57599999999999996</v>
      </c>
      <c r="L391" s="37">
        <v>0.38400000000000001</v>
      </c>
    </row>
    <row r="392" spans="2:13" x14ac:dyDescent="0.15">
      <c r="B392" s="37" t="s">
        <v>533</v>
      </c>
      <c r="C392" s="37" t="s">
        <v>791</v>
      </c>
      <c r="D392" s="37" t="s">
        <v>983</v>
      </c>
      <c r="E392" s="37" t="s">
        <v>9</v>
      </c>
      <c r="F392" s="37" t="s">
        <v>10</v>
      </c>
      <c r="G392" s="37" t="s">
        <v>37</v>
      </c>
      <c r="H392" s="37">
        <v>0.55289999999999995</v>
      </c>
      <c r="I392" s="37">
        <v>0.47820000000000001</v>
      </c>
      <c r="J392" s="37">
        <v>8.14E-2</v>
      </c>
      <c r="K392" s="37">
        <v>17.2395</v>
      </c>
      <c r="L392" s="37">
        <v>16.416799999999999</v>
      </c>
      <c r="M392" s="37">
        <v>2.5183</v>
      </c>
    </row>
    <row r="393" spans="2:13" x14ac:dyDescent="0.15">
      <c r="B393" s="37" t="s">
        <v>534</v>
      </c>
      <c r="C393" s="37" t="s">
        <v>791</v>
      </c>
      <c r="D393" s="37" t="s">
        <v>983</v>
      </c>
      <c r="E393" s="37" t="s">
        <v>9</v>
      </c>
      <c r="F393" s="37" t="s">
        <v>10</v>
      </c>
      <c r="G393" s="37" t="s">
        <v>37</v>
      </c>
      <c r="H393" s="37">
        <v>3.53</v>
      </c>
      <c r="I393" s="37">
        <v>1.6247</v>
      </c>
      <c r="K393" s="37">
        <v>92.468000000000004</v>
      </c>
      <c r="L393" s="37">
        <v>38.321599999999997</v>
      </c>
    </row>
    <row r="394" spans="2:13" x14ac:dyDescent="0.15">
      <c r="B394" s="37" t="s">
        <v>535</v>
      </c>
      <c r="C394" s="37" t="s">
        <v>791</v>
      </c>
      <c r="D394" s="37" t="s">
        <v>983</v>
      </c>
      <c r="E394" s="37" t="s">
        <v>9</v>
      </c>
      <c r="F394" s="37" t="s">
        <v>30</v>
      </c>
      <c r="G394" s="37" t="s">
        <v>37</v>
      </c>
      <c r="H394" s="37">
        <v>0.42930000000000001</v>
      </c>
      <c r="I394" s="37">
        <v>0.67159999999999997</v>
      </c>
      <c r="K394" s="37">
        <v>9.3439999999999994</v>
      </c>
      <c r="L394" s="37">
        <v>12.986599999999999</v>
      </c>
    </row>
    <row r="395" spans="2:13" x14ac:dyDescent="0.15">
      <c r="B395" s="37" t="s">
        <v>536</v>
      </c>
      <c r="C395" s="37" t="s">
        <v>791</v>
      </c>
      <c r="D395" s="37" t="s">
        <v>983</v>
      </c>
      <c r="E395" s="37" t="s">
        <v>9</v>
      </c>
      <c r="F395" s="37" t="s">
        <v>10</v>
      </c>
      <c r="G395" s="37" t="s">
        <v>37</v>
      </c>
      <c r="H395" s="37">
        <v>0.48170000000000002</v>
      </c>
      <c r="K395" s="37">
        <v>13.007199999999999</v>
      </c>
    </row>
    <row r="396" spans="2:13" x14ac:dyDescent="0.15">
      <c r="B396" s="37" t="s">
        <v>537</v>
      </c>
      <c r="C396" s="37" t="s">
        <v>791</v>
      </c>
      <c r="D396" s="37" t="s">
        <v>983</v>
      </c>
      <c r="E396" s="37" t="s">
        <v>9</v>
      </c>
      <c r="F396" s="37" t="s">
        <v>10</v>
      </c>
      <c r="G396" s="37" t="s">
        <v>37</v>
      </c>
      <c r="J396" s="37">
        <v>8.9800000000000005E-2</v>
      </c>
      <c r="M396" s="37">
        <v>1.9842</v>
      </c>
    </row>
    <row r="397" spans="2:13" x14ac:dyDescent="0.15">
      <c r="B397" s="37" t="s">
        <v>539</v>
      </c>
      <c r="C397" s="37" t="s">
        <v>791</v>
      </c>
      <c r="D397" s="37" t="s">
        <v>983</v>
      </c>
      <c r="E397" s="37" t="s">
        <v>9</v>
      </c>
      <c r="F397" s="37" t="s">
        <v>10</v>
      </c>
      <c r="G397" s="37" t="s">
        <v>37</v>
      </c>
      <c r="J397" s="37">
        <v>0.16889999999999999</v>
      </c>
      <c r="M397" s="37">
        <v>4.3247</v>
      </c>
    </row>
    <row r="398" spans="2:13" x14ac:dyDescent="0.15">
      <c r="B398" s="37" t="s">
        <v>540</v>
      </c>
      <c r="C398" s="37" t="s">
        <v>791</v>
      </c>
      <c r="D398" s="37" t="s">
        <v>983</v>
      </c>
      <c r="E398" s="37" t="s">
        <v>9</v>
      </c>
      <c r="F398" s="37" t="s">
        <v>10</v>
      </c>
      <c r="G398" s="37" t="s">
        <v>37</v>
      </c>
      <c r="H398" s="37">
        <v>4.2949000000000002</v>
      </c>
      <c r="I398" s="37">
        <v>0.33839999999999998</v>
      </c>
      <c r="K398" s="37">
        <v>87.926599999999993</v>
      </c>
      <c r="L398" s="37">
        <v>6.2496999999999998</v>
      </c>
    </row>
    <row r="399" spans="2:13" x14ac:dyDescent="0.15">
      <c r="B399" s="37" t="s">
        <v>541</v>
      </c>
      <c r="C399" s="37" t="s">
        <v>791</v>
      </c>
      <c r="D399" s="37" t="s">
        <v>983</v>
      </c>
      <c r="E399" s="37" t="s">
        <v>9</v>
      </c>
      <c r="F399" s="37" t="s">
        <v>10</v>
      </c>
      <c r="G399" s="37" t="s">
        <v>37</v>
      </c>
      <c r="H399" s="37">
        <v>13.5303</v>
      </c>
      <c r="I399" s="37">
        <v>2.3972000000000002</v>
      </c>
      <c r="J399" s="37">
        <v>0.73670000000000002</v>
      </c>
      <c r="K399" s="37">
        <v>272.4522</v>
      </c>
      <c r="L399" s="37">
        <v>43.2258</v>
      </c>
      <c r="M399" s="37">
        <v>13.669700000000001</v>
      </c>
    </row>
    <row r="400" spans="2:13" x14ac:dyDescent="0.15">
      <c r="B400" s="37" t="s">
        <v>542</v>
      </c>
      <c r="C400" s="37" t="s">
        <v>791</v>
      </c>
      <c r="D400" s="37" t="s">
        <v>983</v>
      </c>
      <c r="E400" s="37" t="s">
        <v>9</v>
      </c>
      <c r="F400" s="37" t="s">
        <v>10</v>
      </c>
      <c r="G400" s="37" t="s">
        <v>37</v>
      </c>
      <c r="H400" s="37">
        <v>8.9724000000000004</v>
      </c>
      <c r="I400" s="37">
        <v>2.3250000000000002</v>
      </c>
      <c r="J400" s="37">
        <v>9.6000000000000002E-2</v>
      </c>
      <c r="K400" s="37">
        <v>202.00700000000001</v>
      </c>
      <c r="L400" s="37">
        <v>55.267699999999998</v>
      </c>
      <c r="M400" s="37">
        <v>2.0488</v>
      </c>
    </row>
    <row r="401" spans="2:13" x14ac:dyDescent="0.15">
      <c r="B401" s="37" t="s">
        <v>543</v>
      </c>
      <c r="C401" s="37" t="s">
        <v>791</v>
      </c>
      <c r="D401" s="37" t="s">
        <v>983</v>
      </c>
      <c r="E401" s="37" t="s">
        <v>9</v>
      </c>
      <c r="F401" s="37" t="s">
        <v>10</v>
      </c>
      <c r="G401" s="37" t="s">
        <v>37</v>
      </c>
      <c r="H401" s="37">
        <v>0.24310000000000001</v>
      </c>
      <c r="I401" s="37">
        <v>0.1048</v>
      </c>
      <c r="K401" s="37">
        <v>5.5039999999999996</v>
      </c>
      <c r="L401" s="37">
        <v>2.3589000000000002</v>
      </c>
    </row>
    <row r="402" spans="2:13" x14ac:dyDescent="0.15">
      <c r="B402" s="37" t="s">
        <v>546</v>
      </c>
      <c r="C402" s="37" t="s">
        <v>791</v>
      </c>
      <c r="D402" s="37" t="s">
        <v>983</v>
      </c>
      <c r="E402" s="37" t="s">
        <v>9</v>
      </c>
      <c r="F402" s="37" t="s">
        <v>30</v>
      </c>
      <c r="G402" s="37" t="s">
        <v>17</v>
      </c>
      <c r="H402" s="37">
        <v>299.24509999999998</v>
      </c>
      <c r="I402" s="37">
        <v>239.40260000000001</v>
      </c>
      <c r="J402" s="37">
        <v>70.132900000000006</v>
      </c>
      <c r="K402" s="37">
        <v>8505.4575000000004</v>
      </c>
      <c r="L402" s="37">
        <v>6543.0663999999997</v>
      </c>
      <c r="M402" s="37">
        <v>1626.3281999999999</v>
      </c>
    </row>
    <row r="403" spans="2:13" x14ac:dyDescent="0.15">
      <c r="B403" s="37" t="s">
        <v>547</v>
      </c>
      <c r="C403" s="37" t="s">
        <v>791</v>
      </c>
      <c r="D403" s="37" t="s">
        <v>983</v>
      </c>
      <c r="E403" s="37" t="s">
        <v>9</v>
      </c>
      <c r="F403" s="37" t="s">
        <v>64</v>
      </c>
      <c r="G403" s="37" t="s">
        <v>17</v>
      </c>
      <c r="H403" s="37">
        <v>228.9504</v>
      </c>
      <c r="I403" s="37">
        <v>220.107</v>
      </c>
      <c r="J403" s="37">
        <v>99.616699999999994</v>
      </c>
      <c r="K403" s="37">
        <v>6068.1558999999997</v>
      </c>
      <c r="L403" s="37">
        <v>5788.4287000000004</v>
      </c>
      <c r="M403" s="37">
        <v>2377.8838000000001</v>
      </c>
    </row>
    <row r="404" spans="2:13" x14ac:dyDescent="0.15">
      <c r="B404" s="37" t="s">
        <v>548</v>
      </c>
      <c r="C404" s="37" t="s">
        <v>791</v>
      </c>
      <c r="D404" s="37" t="s">
        <v>983</v>
      </c>
      <c r="E404" s="37" t="s">
        <v>9</v>
      </c>
      <c r="F404" s="37" t="s">
        <v>30</v>
      </c>
      <c r="G404" s="37" t="s">
        <v>549</v>
      </c>
      <c r="J404" s="37">
        <v>4.2099999999999999E-2</v>
      </c>
      <c r="M404" s="37">
        <v>0.45</v>
      </c>
    </row>
    <row r="405" spans="2:13" x14ac:dyDescent="0.15">
      <c r="B405" s="37" t="s">
        <v>550</v>
      </c>
      <c r="C405" s="37" t="s">
        <v>791</v>
      </c>
      <c r="D405" s="37" t="s">
        <v>983</v>
      </c>
      <c r="E405" s="37" t="s">
        <v>9</v>
      </c>
      <c r="F405" s="37" t="s">
        <v>30</v>
      </c>
      <c r="G405" s="37" t="s">
        <v>549</v>
      </c>
      <c r="J405" s="37">
        <v>0.3543</v>
      </c>
      <c r="M405" s="37">
        <v>4.1279000000000003</v>
      </c>
    </row>
    <row r="406" spans="2:13" x14ac:dyDescent="0.15">
      <c r="B406" s="37" t="s">
        <v>551</v>
      </c>
      <c r="C406" s="37" t="s">
        <v>791</v>
      </c>
      <c r="D406" s="37" t="s">
        <v>983</v>
      </c>
      <c r="E406" s="37" t="s">
        <v>9</v>
      </c>
      <c r="F406" s="37" t="s">
        <v>30</v>
      </c>
      <c r="G406" s="37" t="s">
        <v>549</v>
      </c>
      <c r="H406" s="37">
        <v>9.0039999999999996</v>
      </c>
      <c r="I406" s="37">
        <v>27.005199999999999</v>
      </c>
      <c r="J406" s="37">
        <v>7.3737000000000004</v>
      </c>
      <c r="K406" s="37">
        <v>168.55369999999999</v>
      </c>
      <c r="L406" s="37">
        <v>470.04379999999998</v>
      </c>
      <c r="M406" s="37">
        <v>117.492</v>
      </c>
    </row>
    <row r="407" spans="2:13" x14ac:dyDescent="0.15">
      <c r="B407" s="37" t="s">
        <v>552</v>
      </c>
      <c r="C407" s="37" t="s">
        <v>791</v>
      </c>
      <c r="D407" s="37" t="s">
        <v>983</v>
      </c>
      <c r="E407" s="37" t="s">
        <v>9</v>
      </c>
      <c r="F407" s="37" t="s">
        <v>30</v>
      </c>
      <c r="G407" s="37" t="s">
        <v>549</v>
      </c>
      <c r="H407" s="37">
        <v>9.5648</v>
      </c>
      <c r="I407" s="37">
        <v>36.633899999999997</v>
      </c>
      <c r="J407" s="37">
        <v>14.959</v>
      </c>
      <c r="K407" s="37">
        <v>136.73179999999999</v>
      </c>
      <c r="L407" s="37">
        <v>512.46489999999994</v>
      </c>
      <c r="M407" s="37">
        <v>178.05029999999999</v>
      </c>
    </row>
    <row r="408" spans="2:13" x14ac:dyDescent="0.15">
      <c r="B408" s="37" t="s">
        <v>553</v>
      </c>
      <c r="C408" s="37" t="s">
        <v>791</v>
      </c>
      <c r="D408" s="37" t="s">
        <v>983</v>
      </c>
      <c r="E408" s="37" t="s">
        <v>9</v>
      </c>
      <c r="F408" s="37" t="s">
        <v>10</v>
      </c>
      <c r="G408" s="37" t="s">
        <v>42</v>
      </c>
      <c r="H408" s="37">
        <v>0.18679999999999999</v>
      </c>
      <c r="K408" s="37">
        <v>4.4957000000000003</v>
      </c>
    </row>
    <row r="409" spans="2:13" x14ac:dyDescent="0.15">
      <c r="B409" s="37" t="s">
        <v>554</v>
      </c>
      <c r="C409" s="37" t="s">
        <v>791</v>
      </c>
      <c r="D409" s="37" t="s">
        <v>983</v>
      </c>
      <c r="E409" s="37" t="s">
        <v>555</v>
      </c>
      <c r="F409" s="37" t="s">
        <v>64</v>
      </c>
      <c r="G409" s="37" t="s">
        <v>34</v>
      </c>
      <c r="H409" s="37">
        <v>0.2319</v>
      </c>
      <c r="K409" s="37">
        <v>3.4005999999999998</v>
      </c>
    </row>
    <row r="410" spans="2:13" x14ac:dyDescent="0.15">
      <c r="B410" s="37" t="s">
        <v>557</v>
      </c>
      <c r="C410" s="37" t="s">
        <v>791</v>
      </c>
      <c r="D410" s="37" t="s">
        <v>984</v>
      </c>
      <c r="E410" s="37" t="s">
        <v>9</v>
      </c>
      <c r="F410" s="37" t="s">
        <v>64</v>
      </c>
      <c r="G410" s="37" t="s">
        <v>34</v>
      </c>
      <c r="H410" s="37">
        <v>0.2671</v>
      </c>
      <c r="K410" s="37">
        <v>5.0296000000000003</v>
      </c>
    </row>
    <row r="411" spans="2:13" x14ac:dyDescent="0.15">
      <c r="B411" s="37" t="s">
        <v>825</v>
      </c>
      <c r="C411" s="37" t="s">
        <v>791</v>
      </c>
      <c r="D411" s="37" t="s">
        <v>984</v>
      </c>
      <c r="E411" s="37" t="s">
        <v>9</v>
      </c>
      <c r="F411" s="37" t="s">
        <v>10</v>
      </c>
      <c r="G411" s="37" t="s">
        <v>37</v>
      </c>
      <c r="H411" s="37">
        <v>0.10589999999999999</v>
      </c>
      <c r="I411" s="37">
        <v>1.12E-2</v>
      </c>
      <c r="K411" s="37">
        <v>2.2591999999999999</v>
      </c>
      <c r="L411" s="37">
        <v>0.2389</v>
      </c>
    </row>
    <row r="412" spans="2:13" x14ac:dyDescent="0.15">
      <c r="B412" s="37" t="s">
        <v>559</v>
      </c>
      <c r="C412" s="37" t="s">
        <v>792</v>
      </c>
      <c r="D412" s="37" t="s">
        <v>985</v>
      </c>
      <c r="E412" s="37" t="s">
        <v>9</v>
      </c>
      <c r="F412" s="37" t="s">
        <v>249</v>
      </c>
      <c r="G412" s="37" t="s">
        <v>103</v>
      </c>
      <c r="H412" s="37">
        <v>2.1598999999999999</v>
      </c>
      <c r="I412" s="37">
        <v>5.1025</v>
      </c>
      <c r="J412" s="37">
        <v>6.3079000000000001</v>
      </c>
      <c r="K412" s="37">
        <v>36.4</v>
      </c>
      <c r="L412" s="37">
        <v>77.862799999999993</v>
      </c>
      <c r="M412" s="37">
        <v>91.042100000000005</v>
      </c>
    </row>
    <row r="413" spans="2:13" x14ac:dyDescent="0.15">
      <c r="B413" s="37" t="s">
        <v>560</v>
      </c>
      <c r="C413" s="37" t="s">
        <v>792</v>
      </c>
      <c r="D413" s="37" t="s">
        <v>985</v>
      </c>
      <c r="E413" s="37" t="s">
        <v>9</v>
      </c>
      <c r="F413" s="37" t="s">
        <v>249</v>
      </c>
      <c r="G413" s="37" t="s">
        <v>103</v>
      </c>
      <c r="H413" s="37">
        <v>10.1408</v>
      </c>
      <c r="I413" s="37">
        <v>7.4416000000000002</v>
      </c>
      <c r="J413" s="37">
        <v>2.3571</v>
      </c>
      <c r="K413" s="37">
        <v>91.191500000000005</v>
      </c>
      <c r="L413" s="37">
        <v>64.807599999999994</v>
      </c>
      <c r="M413" s="37">
        <v>19.349299999999999</v>
      </c>
    </row>
    <row r="414" spans="2:13" x14ac:dyDescent="0.15">
      <c r="B414" s="37" t="s">
        <v>564</v>
      </c>
      <c r="C414" s="37" t="s">
        <v>794</v>
      </c>
      <c r="D414" s="37" t="s">
        <v>986</v>
      </c>
      <c r="E414" s="37" t="s">
        <v>9</v>
      </c>
      <c r="F414" s="37" t="s">
        <v>20</v>
      </c>
      <c r="G414" s="37" t="s">
        <v>17</v>
      </c>
      <c r="H414" s="37">
        <v>2.9045000000000001</v>
      </c>
      <c r="K414" s="37">
        <v>116.9823</v>
      </c>
    </row>
    <row r="415" spans="2:13" x14ac:dyDescent="0.15">
      <c r="B415" s="37" t="s">
        <v>565</v>
      </c>
      <c r="C415" s="37" t="s">
        <v>794</v>
      </c>
      <c r="D415" s="37" t="s">
        <v>986</v>
      </c>
      <c r="E415" s="37" t="s">
        <v>9</v>
      </c>
      <c r="F415" s="37" t="s">
        <v>10</v>
      </c>
      <c r="G415" s="37" t="s">
        <v>17</v>
      </c>
      <c r="H415" s="37">
        <v>2.9113000000000002</v>
      </c>
      <c r="K415" s="37">
        <v>119.83880000000001</v>
      </c>
    </row>
    <row r="416" spans="2:13" x14ac:dyDescent="0.15">
      <c r="B416" s="37" t="s">
        <v>566</v>
      </c>
      <c r="C416" s="37" t="s">
        <v>794</v>
      </c>
      <c r="D416" s="37" t="s">
        <v>986</v>
      </c>
      <c r="E416" s="37" t="s">
        <v>9</v>
      </c>
      <c r="F416" s="37" t="s">
        <v>10</v>
      </c>
      <c r="G416" s="37" t="s">
        <v>17</v>
      </c>
      <c r="H416" s="37">
        <v>4.2324000000000002</v>
      </c>
      <c r="K416" s="37">
        <v>171.05330000000001</v>
      </c>
    </row>
    <row r="417" spans="2:13" x14ac:dyDescent="0.15">
      <c r="B417" s="37" t="s">
        <v>567</v>
      </c>
      <c r="C417" s="37" t="s">
        <v>794</v>
      </c>
      <c r="D417" s="37" t="s">
        <v>986</v>
      </c>
      <c r="E417" s="37" t="s">
        <v>9</v>
      </c>
      <c r="F417" s="37" t="s">
        <v>20</v>
      </c>
      <c r="G417" s="37" t="s">
        <v>17</v>
      </c>
      <c r="H417" s="37">
        <v>2.6360000000000001</v>
      </c>
      <c r="K417" s="37">
        <v>103.9999</v>
      </c>
    </row>
    <row r="418" spans="2:13" x14ac:dyDescent="0.15">
      <c r="B418" s="37" t="s">
        <v>569</v>
      </c>
      <c r="C418" s="37" t="s">
        <v>794</v>
      </c>
      <c r="D418" s="37" t="s">
        <v>987</v>
      </c>
      <c r="E418" s="37" t="s">
        <v>9</v>
      </c>
      <c r="F418" s="37" t="s">
        <v>20</v>
      </c>
      <c r="G418" s="37" t="s">
        <v>570</v>
      </c>
      <c r="H418" s="37">
        <v>59.2014</v>
      </c>
      <c r="I418" s="37">
        <v>82.022099999999995</v>
      </c>
      <c r="J418" s="37">
        <v>31.495899999999999</v>
      </c>
      <c r="K418" s="37">
        <v>4163.6220999999996</v>
      </c>
      <c r="L418" s="37">
        <v>5172.0583999999999</v>
      </c>
      <c r="M418" s="37">
        <v>1931.7985000000001</v>
      </c>
    </row>
    <row r="419" spans="2:13" x14ac:dyDescent="0.15">
      <c r="B419" s="37" t="s">
        <v>571</v>
      </c>
      <c r="C419" s="37" t="s">
        <v>794</v>
      </c>
      <c r="D419" s="37" t="s">
        <v>987</v>
      </c>
      <c r="E419" s="37" t="s">
        <v>9</v>
      </c>
      <c r="F419" s="37" t="s">
        <v>20</v>
      </c>
      <c r="G419" s="37" t="s">
        <v>570</v>
      </c>
      <c r="H419" s="37">
        <v>6.7272999999999996</v>
      </c>
      <c r="I419" s="37">
        <v>1.7110000000000001</v>
      </c>
      <c r="J419" s="37">
        <v>1.5649999999999999</v>
      </c>
      <c r="K419" s="37">
        <v>473.34</v>
      </c>
      <c r="L419" s="37">
        <v>112.14570000000001</v>
      </c>
      <c r="M419" s="37">
        <v>108.86020000000001</v>
      </c>
    </row>
    <row r="420" spans="2:13" x14ac:dyDescent="0.15">
      <c r="B420" s="37" t="s">
        <v>573</v>
      </c>
      <c r="C420" s="37" t="s">
        <v>795</v>
      </c>
      <c r="D420" s="37" t="s">
        <v>988</v>
      </c>
      <c r="E420" s="37" t="s">
        <v>9</v>
      </c>
      <c r="F420" s="37" t="s">
        <v>64</v>
      </c>
      <c r="G420" s="37" t="s">
        <v>24</v>
      </c>
      <c r="H420" s="37">
        <v>53.944000000000003</v>
      </c>
      <c r="I420" s="37">
        <v>41.741</v>
      </c>
      <c r="J420" s="37">
        <v>12.7791</v>
      </c>
      <c r="K420" s="37">
        <v>3422.2186000000002</v>
      </c>
      <c r="L420" s="37">
        <v>2176.2671999999998</v>
      </c>
      <c r="M420" s="37">
        <v>723.71550000000002</v>
      </c>
    </row>
    <row r="421" spans="2:13" x14ac:dyDescent="0.15">
      <c r="B421" s="37" t="s">
        <v>574</v>
      </c>
      <c r="C421" s="37" t="s">
        <v>795</v>
      </c>
      <c r="D421" s="37" t="s">
        <v>988</v>
      </c>
      <c r="E421" s="37" t="s">
        <v>9</v>
      </c>
      <c r="F421" s="37" t="s">
        <v>64</v>
      </c>
      <c r="G421" s="37" t="s">
        <v>42</v>
      </c>
      <c r="H421" s="37">
        <v>10.5024</v>
      </c>
      <c r="I421" s="37">
        <v>1.2988</v>
      </c>
      <c r="J421" s="37">
        <v>0.38090000000000002</v>
      </c>
      <c r="K421" s="37">
        <v>626.13580000000002</v>
      </c>
      <c r="L421" s="37">
        <v>67.750100000000003</v>
      </c>
      <c r="M421" s="37">
        <v>17.785299999999999</v>
      </c>
    </row>
    <row r="422" spans="2:13" x14ac:dyDescent="0.15">
      <c r="B422" s="37" t="s">
        <v>576</v>
      </c>
      <c r="C422" s="37" t="s">
        <v>795</v>
      </c>
      <c r="D422" s="37" t="s">
        <v>989</v>
      </c>
      <c r="E422" s="37" t="s">
        <v>9</v>
      </c>
      <c r="F422" s="37" t="s">
        <v>20</v>
      </c>
      <c r="G422" s="37" t="s">
        <v>84</v>
      </c>
      <c r="H422" s="37">
        <v>1.4174</v>
      </c>
      <c r="I422" s="37">
        <v>2.3006000000000002</v>
      </c>
      <c r="K422" s="37">
        <v>78.384500000000003</v>
      </c>
      <c r="L422" s="37">
        <v>113.29300000000001</v>
      </c>
    </row>
    <row r="423" spans="2:13" x14ac:dyDescent="0.15">
      <c r="B423" s="37" t="s">
        <v>578</v>
      </c>
      <c r="C423" s="37" t="s">
        <v>796</v>
      </c>
      <c r="D423" s="37" t="s">
        <v>990</v>
      </c>
      <c r="E423" s="37" t="s">
        <v>9</v>
      </c>
      <c r="F423" s="37" t="s">
        <v>69</v>
      </c>
      <c r="G423" s="37" t="s">
        <v>42</v>
      </c>
      <c r="H423" s="37">
        <v>2.9096000000000002</v>
      </c>
      <c r="I423" s="37">
        <v>6.0198</v>
      </c>
      <c r="J423" s="37">
        <v>5.5109000000000004</v>
      </c>
      <c r="K423" s="37">
        <v>55.366500000000002</v>
      </c>
      <c r="L423" s="37">
        <v>108.4705</v>
      </c>
      <c r="M423" s="37">
        <v>98.710099999999997</v>
      </c>
    </row>
    <row r="424" spans="2:13" x14ac:dyDescent="0.15">
      <c r="B424" s="37" t="s">
        <v>580</v>
      </c>
      <c r="C424" s="37" t="s">
        <v>797</v>
      </c>
      <c r="D424" s="37" t="s">
        <v>991</v>
      </c>
      <c r="E424" s="37" t="s">
        <v>9</v>
      </c>
      <c r="F424" s="37" t="s">
        <v>20</v>
      </c>
      <c r="G424" s="37" t="s">
        <v>42</v>
      </c>
      <c r="J424" s="37">
        <v>9.1999999999999998E-3</v>
      </c>
      <c r="M424" s="37">
        <v>0.30320000000000003</v>
      </c>
    </row>
    <row r="425" spans="2:13" x14ac:dyDescent="0.15">
      <c r="B425" s="37" t="s">
        <v>584</v>
      </c>
      <c r="C425" s="37" t="s">
        <v>799</v>
      </c>
      <c r="D425" s="37" t="s">
        <v>992</v>
      </c>
      <c r="E425" s="37" t="s">
        <v>9</v>
      </c>
      <c r="F425" s="37" t="s">
        <v>20</v>
      </c>
      <c r="G425" s="37" t="s">
        <v>99</v>
      </c>
      <c r="H425" s="37">
        <v>0.35610000000000003</v>
      </c>
      <c r="K425" s="37">
        <v>5.6227</v>
      </c>
    </row>
    <row r="426" spans="2:13" x14ac:dyDescent="0.15">
      <c r="B426" s="37" t="s">
        <v>585</v>
      </c>
      <c r="C426" s="37" t="s">
        <v>799</v>
      </c>
      <c r="D426" s="37" t="s">
        <v>992</v>
      </c>
      <c r="E426" s="37" t="s">
        <v>9</v>
      </c>
      <c r="F426" s="37" t="s">
        <v>10</v>
      </c>
      <c r="G426" s="37" t="s">
        <v>42</v>
      </c>
      <c r="H426" s="37">
        <v>1.3764000000000001</v>
      </c>
      <c r="I426" s="37">
        <v>2.7699999999999999E-2</v>
      </c>
      <c r="K426" s="37">
        <v>28.943100000000001</v>
      </c>
      <c r="L426" s="37">
        <v>0.64290000000000003</v>
      </c>
    </row>
    <row r="427" spans="2:13" x14ac:dyDescent="0.15">
      <c r="B427" s="37" t="s">
        <v>587</v>
      </c>
      <c r="C427" s="37" t="s">
        <v>799</v>
      </c>
      <c r="D427" s="37" t="s">
        <v>993</v>
      </c>
      <c r="E427" s="37" t="s">
        <v>9</v>
      </c>
      <c r="F427" s="37" t="s">
        <v>30</v>
      </c>
      <c r="G427" s="37" t="s">
        <v>118</v>
      </c>
      <c r="H427" s="37">
        <v>6.7664999999999997</v>
      </c>
      <c r="I427" s="37">
        <v>0.54779999999999995</v>
      </c>
      <c r="K427" s="37">
        <v>162.6651</v>
      </c>
      <c r="L427" s="37">
        <v>12.7288</v>
      </c>
    </row>
    <row r="428" spans="2:13" x14ac:dyDescent="0.15">
      <c r="B428" s="37" t="s">
        <v>588</v>
      </c>
      <c r="C428" s="37" t="s">
        <v>799</v>
      </c>
      <c r="D428" s="37" t="s">
        <v>993</v>
      </c>
      <c r="E428" s="37" t="s">
        <v>9</v>
      </c>
      <c r="F428" s="37" t="s">
        <v>30</v>
      </c>
      <c r="G428" s="37" t="s">
        <v>99</v>
      </c>
      <c r="H428" s="37">
        <v>14.513400000000001</v>
      </c>
      <c r="I428" s="37">
        <v>11.551399999999999</v>
      </c>
      <c r="J428" s="37">
        <v>8.6715</v>
      </c>
      <c r="K428" s="37">
        <v>383.46769999999998</v>
      </c>
      <c r="L428" s="37">
        <v>307.81580000000002</v>
      </c>
      <c r="M428" s="37">
        <v>255.3304</v>
      </c>
    </row>
    <row r="429" spans="2:13" x14ac:dyDescent="0.15">
      <c r="B429" s="37" t="s">
        <v>589</v>
      </c>
      <c r="C429" s="37" t="s">
        <v>799</v>
      </c>
      <c r="D429" s="37" t="s">
        <v>993</v>
      </c>
      <c r="E429" s="37" t="s">
        <v>9</v>
      </c>
      <c r="F429" s="37" t="s">
        <v>30</v>
      </c>
      <c r="G429" s="37" t="s">
        <v>99</v>
      </c>
      <c r="H429" s="37">
        <v>17.654699999999998</v>
      </c>
      <c r="I429" s="37">
        <v>12.539</v>
      </c>
      <c r="J429" s="37">
        <v>4.6113</v>
      </c>
      <c r="K429" s="37">
        <v>482.61590000000001</v>
      </c>
      <c r="L429" s="37">
        <v>340.10579999999999</v>
      </c>
      <c r="M429" s="37">
        <v>153.12389999999999</v>
      </c>
    </row>
    <row r="430" spans="2:13" x14ac:dyDescent="0.15">
      <c r="B430" s="37" t="s">
        <v>826</v>
      </c>
      <c r="C430" s="37" t="s">
        <v>799</v>
      </c>
      <c r="D430" s="37" t="s">
        <v>994</v>
      </c>
      <c r="E430" s="37" t="s">
        <v>9</v>
      </c>
      <c r="F430" s="37" t="s">
        <v>10</v>
      </c>
      <c r="G430" s="37" t="s">
        <v>24</v>
      </c>
      <c r="H430" s="37">
        <v>20.231999999999999</v>
      </c>
      <c r="I430" s="37">
        <v>11.313700000000001</v>
      </c>
      <c r="K430" s="37">
        <v>583.67819999999995</v>
      </c>
      <c r="L430" s="37">
        <v>345.19709999999998</v>
      </c>
    </row>
    <row r="431" spans="2:13" x14ac:dyDescent="0.15">
      <c r="B431" s="37" t="s">
        <v>593</v>
      </c>
      <c r="C431" s="37" t="s">
        <v>800</v>
      </c>
      <c r="D431" s="37" t="s">
        <v>995</v>
      </c>
      <c r="E431" s="37" t="s">
        <v>9</v>
      </c>
      <c r="F431" s="37" t="s">
        <v>20</v>
      </c>
      <c r="G431" s="37" t="s">
        <v>24</v>
      </c>
      <c r="I431" s="37">
        <v>20.586300000000001</v>
      </c>
      <c r="J431" s="37">
        <v>29.262499999999999</v>
      </c>
      <c r="L431" s="37">
        <v>1265.0245</v>
      </c>
      <c r="M431" s="37">
        <v>1657.2372</v>
      </c>
    </row>
    <row r="432" spans="2:13" x14ac:dyDescent="0.15">
      <c r="B432" s="37" t="s">
        <v>594</v>
      </c>
      <c r="C432" s="37" t="s">
        <v>800</v>
      </c>
      <c r="D432" s="37" t="s">
        <v>995</v>
      </c>
      <c r="E432" s="37" t="s">
        <v>9</v>
      </c>
      <c r="F432" s="37" t="s">
        <v>20</v>
      </c>
      <c r="G432" s="37" t="s">
        <v>42</v>
      </c>
      <c r="H432" s="37">
        <v>26.3474</v>
      </c>
      <c r="I432" s="37">
        <v>52.005499999999998</v>
      </c>
      <c r="J432" s="37">
        <v>32.744900000000001</v>
      </c>
      <c r="K432" s="37">
        <v>920.46799999999996</v>
      </c>
      <c r="L432" s="37">
        <v>1819.1769999999999</v>
      </c>
      <c r="M432" s="37">
        <v>1062.7058999999999</v>
      </c>
    </row>
    <row r="433" spans="2:13" x14ac:dyDescent="0.15">
      <c r="B433" s="37" t="s">
        <v>596</v>
      </c>
      <c r="C433" s="37" t="s">
        <v>801</v>
      </c>
      <c r="D433" s="37" t="s">
        <v>996</v>
      </c>
      <c r="E433" s="37" t="s">
        <v>9</v>
      </c>
      <c r="F433" s="37" t="s">
        <v>10</v>
      </c>
      <c r="G433" s="37" t="s">
        <v>42</v>
      </c>
      <c r="H433" s="37">
        <v>0.1701</v>
      </c>
      <c r="I433" s="37">
        <v>0.71989999999999998</v>
      </c>
      <c r="J433" s="37">
        <v>4.9299999999999997E-2</v>
      </c>
      <c r="K433" s="37">
        <v>1.008</v>
      </c>
      <c r="L433" s="37">
        <v>3.8765000000000001</v>
      </c>
      <c r="M433" s="37">
        <v>0.28799999999999998</v>
      </c>
    </row>
    <row r="434" spans="2:13" x14ac:dyDescent="0.15">
      <c r="B434" s="37" t="s">
        <v>597</v>
      </c>
      <c r="C434" s="37" t="s">
        <v>801</v>
      </c>
      <c r="D434" s="37" t="s">
        <v>996</v>
      </c>
      <c r="E434" s="37" t="s">
        <v>555</v>
      </c>
      <c r="F434" s="37" t="s">
        <v>10</v>
      </c>
      <c r="G434" s="37" t="s">
        <v>103</v>
      </c>
      <c r="H434" s="37">
        <v>0.8034</v>
      </c>
      <c r="I434" s="37">
        <v>0.64690000000000003</v>
      </c>
      <c r="J434" s="37">
        <v>0.2069</v>
      </c>
      <c r="K434" s="37">
        <v>3.92</v>
      </c>
      <c r="L434" s="37">
        <v>3.48</v>
      </c>
      <c r="M434" s="37">
        <v>1.1399999999999999</v>
      </c>
    </row>
    <row r="435" spans="2:13" x14ac:dyDescent="0.15">
      <c r="B435" s="37" t="s">
        <v>599</v>
      </c>
      <c r="C435" s="37" t="s">
        <v>802</v>
      </c>
      <c r="D435" s="37" t="s">
        <v>997</v>
      </c>
      <c r="E435" s="37" t="s">
        <v>9</v>
      </c>
      <c r="F435" s="37" t="s">
        <v>20</v>
      </c>
      <c r="G435" s="37" t="s">
        <v>42</v>
      </c>
      <c r="H435" s="37">
        <v>16.393699999999999</v>
      </c>
      <c r="I435" s="37">
        <v>13.5199</v>
      </c>
      <c r="J435" s="37">
        <v>5.5843999999999996</v>
      </c>
      <c r="K435" s="37">
        <v>841.14940000000001</v>
      </c>
      <c r="L435" s="37">
        <v>693.07759999999996</v>
      </c>
      <c r="M435" s="37">
        <v>305.17070000000001</v>
      </c>
    </row>
    <row r="436" spans="2:13" x14ac:dyDescent="0.15">
      <c r="B436" s="37" t="s">
        <v>600</v>
      </c>
      <c r="C436" s="37" t="s">
        <v>802</v>
      </c>
      <c r="D436" s="37" t="s">
        <v>997</v>
      </c>
      <c r="E436" s="37" t="s">
        <v>9</v>
      </c>
      <c r="F436" s="37" t="s">
        <v>20</v>
      </c>
      <c r="G436" s="37" t="s">
        <v>42</v>
      </c>
      <c r="H436" s="37">
        <v>2.1175000000000002</v>
      </c>
      <c r="I436" s="37">
        <v>0.66620000000000001</v>
      </c>
      <c r="K436" s="37">
        <v>137.34479999999999</v>
      </c>
      <c r="L436" s="37">
        <v>41.348700000000001</v>
      </c>
    </row>
    <row r="437" spans="2:13" x14ac:dyDescent="0.15">
      <c r="B437" s="37" t="s">
        <v>602</v>
      </c>
      <c r="C437" s="37" t="s">
        <v>803</v>
      </c>
      <c r="D437" s="37" t="s">
        <v>998</v>
      </c>
      <c r="E437" s="37" t="s">
        <v>9</v>
      </c>
      <c r="F437" s="37" t="s">
        <v>20</v>
      </c>
      <c r="G437" s="37" t="s">
        <v>24</v>
      </c>
      <c r="H437" s="37">
        <v>1.9984999999999999</v>
      </c>
      <c r="I437" s="37">
        <v>3.2300000000000002E-2</v>
      </c>
      <c r="K437" s="37">
        <v>141.71469999999999</v>
      </c>
      <c r="L437" s="37">
        <v>1.9971000000000001</v>
      </c>
    </row>
    <row r="438" spans="2:13" x14ac:dyDescent="0.15">
      <c r="B438" s="37" t="s">
        <v>604</v>
      </c>
      <c r="C438" s="37" t="s">
        <v>803</v>
      </c>
      <c r="D438" s="37" t="s">
        <v>999</v>
      </c>
      <c r="E438" s="37" t="s">
        <v>9</v>
      </c>
      <c r="F438" s="37" t="s">
        <v>30</v>
      </c>
      <c r="G438" s="37" t="s">
        <v>21</v>
      </c>
      <c r="H438" s="37">
        <v>136.17420000000001</v>
      </c>
      <c r="I438" s="37">
        <v>152.24180000000001</v>
      </c>
      <c r="J438" s="37">
        <v>70.924899999999994</v>
      </c>
      <c r="K438" s="37">
        <v>7155.8876</v>
      </c>
      <c r="L438" s="37">
        <v>7606.2596000000003</v>
      </c>
      <c r="M438" s="37">
        <v>3236.7058000000002</v>
      </c>
    </row>
    <row r="439" spans="2:13" x14ac:dyDescent="0.15">
      <c r="B439" s="37" t="s">
        <v>605</v>
      </c>
      <c r="C439" s="37" t="s">
        <v>803</v>
      </c>
      <c r="D439" s="37" t="s">
        <v>999</v>
      </c>
      <c r="E439" s="37" t="s">
        <v>9</v>
      </c>
      <c r="F439" s="37" t="s">
        <v>20</v>
      </c>
      <c r="G439" s="37" t="s">
        <v>24</v>
      </c>
      <c r="H439" s="37">
        <v>166.38550000000001</v>
      </c>
      <c r="I439" s="37">
        <v>154.19909999999999</v>
      </c>
      <c r="J439" s="37">
        <v>78.409199999999998</v>
      </c>
      <c r="K439" s="37">
        <v>8805.9477000000006</v>
      </c>
      <c r="L439" s="37">
        <v>8032.0802000000003</v>
      </c>
      <c r="M439" s="37">
        <v>3983.7687000000001</v>
      </c>
    </row>
    <row r="440" spans="2:13" x14ac:dyDescent="0.15">
      <c r="B440" s="37" t="s">
        <v>606</v>
      </c>
      <c r="C440" s="37" t="s">
        <v>803</v>
      </c>
      <c r="D440" s="37" t="s">
        <v>999</v>
      </c>
      <c r="E440" s="37" t="s">
        <v>9</v>
      </c>
      <c r="F440" s="37" t="s">
        <v>20</v>
      </c>
      <c r="G440" s="37" t="s">
        <v>42</v>
      </c>
      <c r="H440" s="37">
        <v>7.4499999999999997E-2</v>
      </c>
      <c r="K440" s="37">
        <v>5.2851999999999997</v>
      </c>
    </row>
    <row r="441" spans="2:13" x14ac:dyDescent="0.15">
      <c r="B441" s="37" t="s">
        <v>607</v>
      </c>
      <c r="C441" s="37" t="s">
        <v>803</v>
      </c>
      <c r="D441" s="37" t="s">
        <v>999</v>
      </c>
      <c r="E441" s="37" t="s">
        <v>9</v>
      </c>
      <c r="F441" s="37" t="s">
        <v>10</v>
      </c>
      <c r="G441" s="37" t="s">
        <v>42</v>
      </c>
      <c r="H441" s="37">
        <v>4.2912999999999997</v>
      </c>
      <c r="I441" s="37">
        <v>3.2158000000000002</v>
      </c>
      <c r="J441" s="37">
        <v>0.39529999999999998</v>
      </c>
      <c r="K441" s="37">
        <v>253.55109999999999</v>
      </c>
      <c r="L441" s="37">
        <v>179.24690000000001</v>
      </c>
      <c r="M441" s="37">
        <v>19.092600000000001</v>
      </c>
    </row>
    <row r="442" spans="2:13" x14ac:dyDescent="0.15">
      <c r="B442" s="37" t="s">
        <v>609</v>
      </c>
      <c r="C442" s="37" t="s">
        <v>803</v>
      </c>
      <c r="D442" s="37" t="s">
        <v>1000</v>
      </c>
      <c r="E442" s="37" t="s">
        <v>9</v>
      </c>
      <c r="F442" s="37" t="s">
        <v>64</v>
      </c>
      <c r="G442" s="37" t="s">
        <v>24</v>
      </c>
      <c r="H442" s="37">
        <v>12.5473</v>
      </c>
      <c r="I442" s="37">
        <v>21.5989</v>
      </c>
      <c r="J442" s="37">
        <v>10.3498</v>
      </c>
      <c r="K442" s="37">
        <v>734.85479999999995</v>
      </c>
      <c r="L442" s="37">
        <v>1234.4389000000001</v>
      </c>
      <c r="M442" s="37">
        <v>587.04769999999996</v>
      </c>
    </row>
    <row r="443" spans="2:13" x14ac:dyDescent="0.15">
      <c r="B443" s="37" t="s">
        <v>610</v>
      </c>
      <c r="C443" s="37" t="s">
        <v>803</v>
      </c>
      <c r="D443" s="37" t="s">
        <v>1000</v>
      </c>
      <c r="E443" s="37" t="s">
        <v>9</v>
      </c>
      <c r="F443" s="37" t="s">
        <v>64</v>
      </c>
      <c r="G443" s="37" t="s">
        <v>103</v>
      </c>
      <c r="H443" s="37">
        <v>0.68669999999999998</v>
      </c>
      <c r="K443" s="37">
        <v>52.465899999999998</v>
      </c>
    </row>
    <row r="444" spans="2:13" x14ac:dyDescent="0.15">
      <c r="B444" s="37" t="s">
        <v>612</v>
      </c>
      <c r="C444" s="37" t="s">
        <v>803</v>
      </c>
      <c r="D444" s="37" t="s">
        <v>1000</v>
      </c>
      <c r="E444" s="37" t="s">
        <v>9</v>
      </c>
      <c r="F444" s="37" t="s">
        <v>64</v>
      </c>
      <c r="G444" s="37" t="s">
        <v>42</v>
      </c>
      <c r="H444" s="37">
        <v>37.213999999999999</v>
      </c>
      <c r="I444" s="37">
        <v>7.2126999999999999</v>
      </c>
      <c r="K444" s="37">
        <v>2501.2190000000001</v>
      </c>
      <c r="L444" s="37">
        <v>451.55340000000001</v>
      </c>
    </row>
    <row r="445" spans="2:13" x14ac:dyDescent="0.15">
      <c r="B445" s="37" t="s">
        <v>613</v>
      </c>
      <c r="C445" s="37" t="s">
        <v>803</v>
      </c>
      <c r="D445" s="37" t="s">
        <v>1000</v>
      </c>
      <c r="E445" s="37" t="s">
        <v>9</v>
      </c>
      <c r="F445" s="37" t="s">
        <v>64</v>
      </c>
      <c r="G445" s="37" t="s">
        <v>68</v>
      </c>
      <c r="H445" s="37">
        <v>2.7111999999999998</v>
      </c>
      <c r="K445" s="37">
        <v>136.8194</v>
      </c>
    </row>
    <row r="446" spans="2:13" x14ac:dyDescent="0.15">
      <c r="B446" s="37" t="s">
        <v>615</v>
      </c>
      <c r="C446" s="37" t="s">
        <v>803</v>
      </c>
      <c r="D446" s="37" t="s">
        <v>1001</v>
      </c>
      <c r="E446" s="37" t="s">
        <v>9</v>
      </c>
      <c r="F446" s="37" t="s">
        <v>64</v>
      </c>
      <c r="G446" s="37" t="s">
        <v>103</v>
      </c>
      <c r="I446" s="37">
        <v>19.032699999999998</v>
      </c>
      <c r="J446" s="37">
        <v>19.713699999999999</v>
      </c>
      <c r="L446" s="37">
        <v>1111.0531000000001</v>
      </c>
      <c r="M446" s="37">
        <v>1063.3096</v>
      </c>
    </row>
    <row r="447" spans="2:13" x14ac:dyDescent="0.15">
      <c r="B447" s="37" t="s">
        <v>617</v>
      </c>
      <c r="C447" s="37" t="s">
        <v>803</v>
      </c>
      <c r="D447" s="37" t="s">
        <v>1002</v>
      </c>
      <c r="E447" s="37" t="s">
        <v>9</v>
      </c>
      <c r="F447" s="37" t="s">
        <v>30</v>
      </c>
      <c r="G447" s="37" t="s">
        <v>21</v>
      </c>
      <c r="H447" s="37">
        <v>1.0042</v>
      </c>
      <c r="K447" s="37">
        <v>76.638000000000005</v>
      </c>
    </row>
    <row r="448" spans="2:13" x14ac:dyDescent="0.15">
      <c r="B448" s="37" t="s">
        <v>618</v>
      </c>
      <c r="C448" s="37" t="s">
        <v>803</v>
      </c>
      <c r="D448" s="37" t="s">
        <v>1002</v>
      </c>
      <c r="E448" s="37" t="s">
        <v>9</v>
      </c>
      <c r="F448" s="37" t="s">
        <v>20</v>
      </c>
      <c r="G448" s="37" t="s">
        <v>24</v>
      </c>
      <c r="H448" s="37">
        <v>251.465</v>
      </c>
      <c r="I448" s="37">
        <v>145.75579999999999</v>
      </c>
      <c r="J448" s="37">
        <v>77.822699999999998</v>
      </c>
      <c r="K448" s="37">
        <v>15122.0514</v>
      </c>
      <c r="L448" s="37">
        <v>8717.0684000000001</v>
      </c>
      <c r="M448" s="37">
        <v>4462.7493999999997</v>
      </c>
    </row>
    <row r="449" spans="2:13" x14ac:dyDescent="0.15">
      <c r="B449" s="37" t="s">
        <v>619</v>
      </c>
      <c r="C449" s="37" t="s">
        <v>803</v>
      </c>
      <c r="D449" s="37" t="s">
        <v>1002</v>
      </c>
      <c r="E449" s="37" t="s">
        <v>9</v>
      </c>
      <c r="F449" s="37" t="s">
        <v>30</v>
      </c>
      <c r="G449" s="37" t="s">
        <v>570</v>
      </c>
      <c r="H449" s="37">
        <v>15.856</v>
      </c>
      <c r="I449" s="37">
        <v>22.015000000000001</v>
      </c>
      <c r="J449" s="37">
        <v>3.4060000000000001</v>
      </c>
      <c r="K449" s="37">
        <v>1023.9475</v>
      </c>
      <c r="L449" s="37">
        <v>1391.8684000000001</v>
      </c>
      <c r="M449" s="37">
        <v>229.50649999999999</v>
      </c>
    </row>
    <row r="450" spans="2:13" x14ac:dyDescent="0.15">
      <c r="B450" s="37" t="s">
        <v>620</v>
      </c>
      <c r="C450" s="37" t="s">
        <v>803</v>
      </c>
      <c r="D450" s="37" t="s">
        <v>1002</v>
      </c>
      <c r="E450" s="37" t="s">
        <v>9</v>
      </c>
      <c r="F450" s="37" t="s">
        <v>20</v>
      </c>
      <c r="G450" s="37" t="s">
        <v>99</v>
      </c>
      <c r="J450" s="37">
        <v>0.28920000000000001</v>
      </c>
      <c r="M450" s="37">
        <v>17.3521</v>
      </c>
    </row>
    <row r="451" spans="2:13" x14ac:dyDescent="0.15">
      <c r="B451" s="37" t="s">
        <v>621</v>
      </c>
      <c r="C451" s="37" t="s">
        <v>803</v>
      </c>
      <c r="D451" s="37" t="s">
        <v>1002</v>
      </c>
      <c r="E451" s="37" t="s">
        <v>9</v>
      </c>
      <c r="F451" s="37" t="s">
        <v>20</v>
      </c>
      <c r="G451" s="37" t="s">
        <v>42</v>
      </c>
      <c r="H451" s="37">
        <v>2.5535999999999999</v>
      </c>
      <c r="I451" s="37">
        <v>3.8500999999999999</v>
      </c>
      <c r="J451" s="37">
        <v>0.82650000000000001</v>
      </c>
      <c r="K451" s="37">
        <v>126.3817</v>
      </c>
      <c r="L451" s="37">
        <v>174.249</v>
      </c>
      <c r="M451" s="37">
        <v>46.762</v>
      </c>
    </row>
    <row r="452" spans="2:13" x14ac:dyDescent="0.15">
      <c r="B452" s="37" t="s">
        <v>622</v>
      </c>
      <c r="C452" s="37" t="s">
        <v>803</v>
      </c>
      <c r="D452" s="37" t="s">
        <v>1002</v>
      </c>
      <c r="E452" s="37" t="s">
        <v>9</v>
      </c>
      <c r="F452" s="37" t="s">
        <v>20</v>
      </c>
      <c r="G452" s="37" t="s">
        <v>42</v>
      </c>
      <c r="I452" s="37">
        <v>0.25659999999999999</v>
      </c>
      <c r="L452" s="37">
        <v>13.196899999999999</v>
      </c>
    </row>
    <row r="453" spans="2:13" x14ac:dyDescent="0.15">
      <c r="B453" s="37" t="s">
        <v>624</v>
      </c>
      <c r="C453" s="37" t="s">
        <v>804</v>
      </c>
      <c r="D453" s="37" t="s">
        <v>1003</v>
      </c>
      <c r="E453" s="37" t="s">
        <v>9</v>
      </c>
      <c r="F453" s="37" t="s">
        <v>30</v>
      </c>
      <c r="G453" s="37" t="s">
        <v>376</v>
      </c>
      <c r="I453" s="37">
        <v>0.5504</v>
      </c>
      <c r="J453" s="37">
        <v>0.74670000000000003</v>
      </c>
      <c r="L453" s="37">
        <v>6.7556000000000003</v>
      </c>
      <c r="M453" s="37">
        <v>9.0073000000000008</v>
      </c>
    </row>
    <row r="454" spans="2:13" x14ac:dyDescent="0.15">
      <c r="B454" s="37" t="s">
        <v>625</v>
      </c>
      <c r="C454" s="37" t="s">
        <v>804</v>
      </c>
      <c r="D454" s="37" t="s">
        <v>1003</v>
      </c>
      <c r="E454" s="37" t="s">
        <v>9</v>
      </c>
      <c r="F454" s="37" t="s">
        <v>30</v>
      </c>
      <c r="G454" s="37" t="s">
        <v>11</v>
      </c>
      <c r="H454" s="37">
        <v>4.7511999999999999</v>
      </c>
      <c r="I454" s="37">
        <v>3.7549000000000001</v>
      </c>
      <c r="J454" s="37">
        <v>1.1405000000000001</v>
      </c>
      <c r="K454" s="37">
        <v>70.328999999999994</v>
      </c>
      <c r="L454" s="37">
        <v>55.465600000000002</v>
      </c>
      <c r="M454" s="37">
        <v>16.475899999999999</v>
      </c>
    </row>
    <row r="455" spans="2:13" x14ac:dyDescent="0.15">
      <c r="B455" s="37" t="s">
        <v>626</v>
      </c>
      <c r="C455" s="37" t="s">
        <v>804</v>
      </c>
      <c r="D455" s="37" t="s">
        <v>1003</v>
      </c>
      <c r="E455" s="37" t="s">
        <v>9</v>
      </c>
      <c r="F455" s="37" t="s">
        <v>10</v>
      </c>
      <c r="G455" s="37" t="s">
        <v>11</v>
      </c>
      <c r="H455" s="37">
        <v>1.23E-2</v>
      </c>
      <c r="I455" s="37">
        <v>2.7799999999999998E-2</v>
      </c>
      <c r="K455" s="37">
        <v>0.18</v>
      </c>
      <c r="L455" s="37">
        <v>0.46179999999999999</v>
      </c>
    </row>
    <row r="456" spans="2:13" x14ac:dyDescent="0.15">
      <c r="B456" s="37" t="s">
        <v>627</v>
      </c>
      <c r="C456" s="37" t="s">
        <v>804</v>
      </c>
      <c r="D456" s="37" t="s">
        <v>1003</v>
      </c>
      <c r="E456" s="37" t="s">
        <v>9</v>
      </c>
      <c r="F456" s="37" t="s">
        <v>64</v>
      </c>
      <c r="G456" s="37" t="s">
        <v>11</v>
      </c>
      <c r="H456" s="37">
        <v>11.1968</v>
      </c>
      <c r="I456" s="37">
        <v>6.3734000000000002</v>
      </c>
      <c r="J456" s="37">
        <v>1.3038000000000001</v>
      </c>
      <c r="K456" s="37">
        <v>170.3914</v>
      </c>
      <c r="L456" s="37">
        <v>94.576999999999998</v>
      </c>
      <c r="M456" s="37">
        <v>19.252400000000002</v>
      </c>
    </row>
    <row r="457" spans="2:13" x14ac:dyDescent="0.15">
      <c r="B457" s="37" t="s">
        <v>628</v>
      </c>
      <c r="C457" s="37" t="s">
        <v>804</v>
      </c>
      <c r="D457" s="37" t="s">
        <v>1003</v>
      </c>
      <c r="E457" s="37" t="s">
        <v>9</v>
      </c>
      <c r="F457" s="37" t="s">
        <v>64</v>
      </c>
      <c r="G457" s="37" t="s">
        <v>363</v>
      </c>
      <c r="I457" s="37">
        <v>0.89970000000000006</v>
      </c>
      <c r="J457" s="37">
        <v>2.4813999999999998</v>
      </c>
      <c r="L457" s="37">
        <v>21.057300000000001</v>
      </c>
      <c r="M457" s="37">
        <v>55.505499999999998</v>
      </c>
    </row>
    <row r="458" spans="2:13" x14ac:dyDescent="0.15">
      <c r="B458" s="37" t="s">
        <v>629</v>
      </c>
      <c r="C458" s="37" t="s">
        <v>804</v>
      </c>
      <c r="D458" s="37" t="s">
        <v>1003</v>
      </c>
      <c r="E458" s="37" t="s">
        <v>9</v>
      </c>
      <c r="F458" s="37" t="s">
        <v>30</v>
      </c>
      <c r="G458" s="37" t="s">
        <v>630</v>
      </c>
      <c r="H458" s="37">
        <v>2.3999999999999998E-3</v>
      </c>
      <c r="K458" s="37">
        <v>5.7000000000000002E-2</v>
      </c>
    </row>
    <row r="459" spans="2:13" x14ac:dyDescent="0.15">
      <c r="B459" s="37" t="s">
        <v>631</v>
      </c>
      <c r="C459" s="37" t="s">
        <v>804</v>
      </c>
      <c r="D459" s="37" t="s">
        <v>1003</v>
      </c>
      <c r="E459" s="37" t="s">
        <v>9</v>
      </c>
      <c r="F459" s="37" t="s">
        <v>10</v>
      </c>
      <c r="G459" s="37" t="s">
        <v>37</v>
      </c>
      <c r="H459" s="37">
        <v>0.22650000000000001</v>
      </c>
      <c r="K459" s="37">
        <v>7.2465999999999999</v>
      </c>
    </row>
    <row r="460" spans="2:13" x14ac:dyDescent="0.15">
      <c r="B460" s="37" t="s">
        <v>632</v>
      </c>
      <c r="C460" s="37" t="s">
        <v>804</v>
      </c>
      <c r="D460" s="37" t="s">
        <v>1003</v>
      </c>
      <c r="E460" s="37" t="s">
        <v>9</v>
      </c>
      <c r="F460" s="37" t="s">
        <v>20</v>
      </c>
      <c r="G460" s="37" t="s">
        <v>37</v>
      </c>
      <c r="H460" s="37">
        <v>0.74809999999999999</v>
      </c>
      <c r="K460" s="37">
        <v>25.650500000000001</v>
      </c>
    </row>
    <row r="461" spans="2:13" x14ac:dyDescent="0.15">
      <c r="B461" s="37" t="s">
        <v>633</v>
      </c>
      <c r="C461" s="37" t="s">
        <v>804</v>
      </c>
      <c r="D461" s="37" t="s">
        <v>1003</v>
      </c>
      <c r="E461" s="37" t="s">
        <v>9</v>
      </c>
      <c r="F461" s="37" t="s">
        <v>20</v>
      </c>
      <c r="G461" s="37" t="s">
        <v>37</v>
      </c>
      <c r="H461" s="37">
        <v>7.1352000000000002</v>
      </c>
      <c r="I461" s="37">
        <v>0.98229999999999995</v>
      </c>
      <c r="J461" s="37">
        <v>0.17499999999999999</v>
      </c>
      <c r="K461" s="37">
        <v>199.79089999999999</v>
      </c>
      <c r="L461" s="37">
        <v>31.398199999999999</v>
      </c>
      <c r="M461" s="37">
        <v>5.5553999999999997</v>
      </c>
    </row>
    <row r="462" spans="2:13" x14ac:dyDescent="0.15">
      <c r="B462" s="37" t="s">
        <v>634</v>
      </c>
      <c r="C462" s="37" t="s">
        <v>804</v>
      </c>
      <c r="D462" s="37" t="s">
        <v>1003</v>
      </c>
      <c r="E462" s="37" t="s">
        <v>9</v>
      </c>
      <c r="F462" s="37" t="s">
        <v>20</v>
      </c>
      <c r="G462" s="37" t="s">
        <v>37</v>
      </c>
      <c r="H462" s="37">
        <v>38.636499999999998</v>
      </c>
      <c r="I462" s="37">
        <v>25.403500000000001</v>
      </c>
      <c r="J462" s="37">
        <v>9.4920000000000009</v>
      </c>
      <c r="K462" s="37">
        <v>1064.7156</v>
      </c>
      <c r="L462" s="37">
        <v>712.85350000000005</v>
      </c>
      <c r="M462" s="37">
        <v>244.268</v>
      </c>
    </row>
    <row r="463" spans="2:13" x14ac:dyDescent="0.15">
      <c r="B463" s="37" t="s">
        <v>636</v>
      </c>
      <c r="C463" s="37" t="s">
        <v>804</v>
      </c>
      <c r="D463" s="37" t="s">
        <v>1003</v>
      </c>
      <c r="E463" s="37" t="s">
        <v>9</v>
      </c>
      <c r="F463" s="37" t="s">
        <v>64</v>
      </c>
      <c r="G463" s="37" t="s">
        <v>37</v>
      </c>
      <c r="H463" s="37">
        <v>3.0739999999999998</v>
      </c>
      <c r="I463" s="37">
        <v>0.314</v>
      </c>
      <c r="J463" s="37">
        <v>6.4199999999999993E-2</v>
      </c>
      <c r="K463" s="37">
        <v>79.571700000000007</v>
      </c>
      <c r="L463" s="37">
        <v>7.3994999999999997</v>
      </c>
      <c r="M463" s="37">
        <v>1.5809</v>
      </c>
    </row>
    <row r="464" spans="2:13" x14ac:dyDescent="0.15">
      <c r="B464" s="37" t="s">
        <v>637</v>
      </c>
      <c r="C464" s="37" t="s">
        <v>804</v>
      </c>
      <c r="D464" s="37" t="s">
        <v>1003</v>
      </c>
      <c r="E464" s="37" t="s">
        <v>9</v>
      </c>
      <c r="F464" s="37" t="s">
        <v>64</v>
      </c>
      <c r="G464" s="37" t="s">
        <v>37</v>
      </c>
      <c r="H464" s="37">
        <v>57.373899999999999</v>
      </c>
      <c r="I464" s="37">
        <v>28.978999999999999</v>
      </c>
      <c r="J464" s="37">
        <v>4.5244999999999997</v>
      </c>
      <c r="K464" s="37">
        <v>1605.2121</v>
      </c>
      <c r="L464" s="37">
        <v>798.29169999999999</v>
      </c>
      <c r="M464" s="37">
        <v>128.11799999999999</v>
      </c>
    </row>
    <row r="465" spans="2:13" x14ac:dyDescent="0.15">
      <c r="B465" s="37" t="s">
        <v>638</v>
      </c>
      <c r="C465" s="37" t="s">
        <v>804</v>
      </c>
      <c r="D465" s="37" t="s">
        <v>1003</v>
      </c>
      <c r="E465" s="37" t="s">
        <v>9</v>
      </c>
      <c r="F465" s="37" t="s">
        <v>30</v>
      </c>
      <c r="G465" s="37" t="s">
        <v>42</v>
      </c>
      <c r="H465" s="37">
        <v>0.84319999999999995</v>
      </c>
      <c r="K465" s="37">
        <v>38.896500000000003</v>
      </c>
    </row>
    <row r="466" spans="2:13" x14ac:dyDescent="0.15">
      <c r="B466" s="37" t="s">
        <v>639</v>
      </c>
      <c r="C466" s="37" t="s">
        <v>804</v>
      </c>
      <c r="D466" s="37" t="s">
        <v>1003</v>
      </c>
      <c r="E466" s="37" t="s">
        <v>9</v>
      </c>
      <c r="F466" s="37" t="s">
        <v>30</v>
      </c>
      <c r="G466" s="37" t="s">
        <v>640</v>
      </c>
      <c r="H466" s="37">
        <v>0.32700000000000001</v>
      </c>
      <c r="I466" s="37">
        <v>7.9399999999999998E-2</v>
      </c>
      <c r="K466" s="37">
        <v>8.1380999999999997</v>
      </c>
      <c r="L466" s="37">
        <v>2.0009000000000001</v>
      </c>
    </row>
    <row r="467" spans="2:13" x14ac:dyDescent="0.15">
      <c r="B467" s="37" t="s">
        <v>641</v>
      </c>
      <c r="C467" s="37" t="s">
        <v>804</v>
      </c>
      <c r="D467" s="37" t="s">
        <v>1003</v>
      </c>
      <c r="E467" s="37" t="s">
        <v>9</v>
      </c>
      <c r="F467" s="37" t="s">
        <v>30</v>
      </c>
      <c r="G467" s="37" t="s">
        <v>17</v>
      </c>
      <c r="H467" s="37">
        <v>30.607399999999998</v>
      </c>
      <c r="I467" s="37">
        <v>87.617999999999995</v>
      </c>
      <c r="J467" s="37">
        <v>25.586099999999998</v>
      </c>
      <c r="K467" s="37">
        <v>1468.2443000000001</v>
      </c>
      <c r="L467" s="37">
        <v>4062.0709999999999</v>
      </c>
      <c r="M467" s="37">
        <v>1119.9051999999999</v>
      </c>
    </row>
    <row r="468" spans="2:13" x14ac:dyDescent="0.15">
      <c r="B468" s="37" t="s">
        <v>643</v>
      </c>
      <c r="C468" s="37" t="s">
        <v>805</v>
      </c>
      <c r="D468" s="37" t="s">
        <v>1004</v>
      </c>
      <c r="E468" s="37" t="s">
        <v>9</v>
      </c>
      <c r="F468" s="37" t="s">
        <v>20</v>
      </c>
      <c r="G468" s="37" t="s">
        <v>42</v>
      </c>
      <c r="H468" s="37">
        <v>0.26200000000000001</v>
      </c>
      <c r="I468" s="37">
        <v>0.1656</v>
      </c>
      <c r="K468" s="37">
        <v>18.860299999999999</v>
      </c>
      <c r="L468" s="37">
        <v>11.920500000000001</v>
      </c>
    </row>
    <row r="469" spans="2:13" x14ac:dyDescent="0.15">
      <c r="B469" s="37" t="s">
        <v>645</v>
      </c>
      <c r="C469" s="37" t="s">
        <v>805</v>
      </c>
      <c r="D469" s="37" t="s">
        <v>1005</v>
      </c>
      <c r="E469" s="37" t="s">
        <v>9</v>
      </c>
      <c r="F469" s="37" t="s">
        <v>64</v>
      </c>
      <c r="G469" s="37" t="s">
        <v>24</v>
      </c>
      <c r="H469" s="37">
        <v>8.2482000000000006</v>
      </c>
      <c r="I469" s="37">
        <v>0.97330000000000005</v>
      </c>
      <c r="K469" s="37">
        <v>505.78250000000003</v>
      </c>
      <c r="L469" s="37">
        <v>58.400799999999997</v>
      </c>
    </row>
    <row r="470" spans="2:13" x14ac:dyDescent="0.15">
      <c r="B470" s="37" t="s">
        <v>653</v>
      </c>
      <c r="C470" s="37" t="s">
        <v>805</v>
      </c>
      <c r="D470" s="37" t="s">
        <v>1006</v>
      </c>
      <c r="E470" s="37" t="s">
        <v>9</v>
      </c>
      <c r="F470" s="37" t="s">
        <v>30</v>
      </c>
      <c r="G470" s="37" t="s">
        <v>24</v>
      </c>
      <c r="H470" s="37">
        <v>5.7763</v>
      </c>
      <c r="I470" s="37">
        <v>9.2917000000000005</v>
      </c>
      <c r="J470" s="37">
        <v>0.95250000000000001</v>
      </c>
      <c r="K470" s="37">
        <v>311.05720000000002</v>
      </c>
      <c r="L470" s="37">
        <v>539.97619999999995</v>
      </c>
      <c r="M470" s="37">
        <v>61.781700000000001</v>
      </c>
    </row>
    <row r="471" spans="2:13" x14ac:dyDescent="0.15">
      <c r="B471" s="37" t="s">
        <v>655</v>
      </c>
      <c r="C471" s="37" t="s">
        <v>805</v>
      </c>
      <c r="D471" s="37" t="s">
        <v>1007</v>
      </c>
      <c r="E471" s="37" t="s">
        <v>9</v>
      </c>
      <c r="F471" s="37" t="s">
        <v>20</v>
      </c>
      <c r="G471" s="37" t="s">
        <v>21</v>
      </c>
      <c r="H471" s="37">
        <v>55.7286</v>
      </c>
      <c r="I471" s="37">
        <v>53.311300000000003</v>
      </c>
      <c r="J471" s="37">
        <v>19.850100000000001</v>
      </c>
      <c r="K471" s="37">
        <v>3644.6801999999998</v>
      </c>
      <c r="L471" s="37">
        <v>3675.9913999999999</v>
      </c>
      <c r="M471" s="37">
        <v>1253.7541000000001</v>
      </c>
    </row>
    <row r="472" spans="2:13" x14ac:dyDescent="0.15">
      <c r="B472" s="37" t="s">
        <v>656</v>
      </c>
      <c r="C472" s="37" t="s">
        <v>805</v>
      </c>
      <c r="D472" s="37" t="s">
        <v>1007</v>
      </c>
      <c r="E472" s="37" t="s">
        <v>9</v>
      </c>
      <c r="F472" s="37" t="s">
        <v>30</v>
      </c>
      <c r="G472" s="37" t="s">
        <v>24</v>
      </c>
      <c r="I472" s="37">
        <v>4.4955999999999996</v>
      </c>
      <c r="L472" s="37">
        <v>365.2654</v>
      </c>
    </row>
    <row r="473" spans="2:13" x14ac:dyDescent="0.15">
      <c r="B473" s="37" t="s">
        <v>657</v>
      </c>
      <c r="C473" s="37" t="s">
        <v>805</v>
      </c>
      <c r="D473" s="37" t="s">
        <v>1007</v>
      </c>
      <c r="E473" s="37" t="s">
        <v>9</v>
      </c>
      <c r="F473" s="37" t="s">
        <v>20</v>
      </c>
      <c r="G473" s="37" t="s">
        <v>103</v>
      </c>
      <c r="H473" s="37">
        <v>5.5199999999999999E-2</v>
      </c>
      <c r="K473" s="37">
        <v>3.36</v>
      </c>
    </row>
    <row r="474" spans="2:13" x14ac:dyDescent="0.15">
      <c r="B474" s="37" t="s">
        <v>659</v>
      </c>
      <c r="C474" s="37" t="s">
        <v>805</v>
      </c>
      <c r="D474" s="37" t="s">
        <v>1008</v>
      </c>
      <c r="E474" s="37" t="s">
        <v>9</v>
      </c>
      <c r="F474" s="37" t="s">
        <v>20</v>
      </c>
      <c r="G474" s="37" t="s">
        <v>24</v>
      </c>
      <c r="H474" s="37">
        <v>5.3959999999999999</v>
      </c>
      <c r="I474" s="37">
        <v>7.0095999999999998</v>
      </c>
      <c r="J474" s="37">
        <v>3.0608</v>
      </c>
      <c r="K474" s="37">
        <v>290.08819999999997</v>
      </c>
      <c r="L474" s="37">
        <v>393.84969999999998</v>
      </c>
      <c r="M474" s="37">
        <v>158.0343</v>
      </c>
    </row>
    <row r="475" spans="2:13" x14ac:dyDescent="0.15">
      <c r="B475" s="37" t="s">
        <v>660</v>
      </c>
      <c r="C475" s="37" t="s">
        <v>805</v>
      </c>
      <c r="D475" s="37" t="s">
        <v>1008</v>
      </c>
      <c r="E475" s="37" t="s">
        <v>9</v>
      </c>
      <c r="F475" s="37" t="s">
        <v>30</v>
      </c>
      <c r="G475" s="37" t="s">
        <v>661</v>
      </c>
      <c r="H475" s="37">
        <v>39.775100000000002</v>
      </c>
      <c r="I475" s="37">
        <v>29.160399999999999</v>
      </c>
      <c r="J475" s="37">
        <v>6.0876999999999999</v>
      </c>
      <c r="K475" s="37">
        <v>2342.4566</v>
      </c>
      <c r="L475" s="37">
        <v>1534.7882999999999</v>
      </c>
      <c r="M475" s="37">
        <v>287.5865</v>
      </c>
    </row>
    <row r="476" spans="2:13" x14ac:dyDescent="0.15">
      <c r="B476" s="37" t="s">
        <v>662</v>
      </c>
      <c r="C476" s="37" t="s">
        <v>805</v>
      </c>
      <c r="D476" s="37" t="s">
        <v>1008</v>
      </c>
      <c r="E476" s="37" t="s">
        <v>9</v>
      </c>
      <c r="F476" s="37" t="s">
        <v>20</v>
      </c>
      <c r="G476" s="37" t="s">
        <v>42</v>
      </c>
      <c r="H476" s="37">
        <v>73.361099999999993</v>
      </c>
      <c r="I476" s="37">
        <v>57.603700000000003</v>
      </c>
      <c r="J476" s="37">
        <v>12.2355</v>
      </c>
      <c r="K476" s="37">
        <v>4307.2969000000003</v>
      </c>
      <c r="L476" s="37">
        <v>3235.6705999999999</v>
      </c>
      <c r="M476" s="37">
        <v>650.06870000000004</v>
      </c>
    </row>
    <row r="477" spans="2:13" x14ac:dyDescent="0.15">
      <c r="B477" s="37" t="s">
        <v>663</v>
      </c>
      <c r="C477" s="37" t="s">
        <v>805</v>
      </c>
      <c r="D477" s="37" t="s">
        <v>1008</v>
      </c>
      <c r="E477" s="37" t="s">
        <v>9</v>
      </c>
      <c r="F477" s="37" t="s">
        <v>20</v>
      </c>
      <c r="G477" s="37" t="s">
        <v>42</v>
      </c>
      <c r="H477" s="37">
        <v>7.6637000000000004</v>
      </c>
      <c r="I477" s="37">
        <v>5.7187999999999999</v>
      </c>
      <c r="J477" s="37">
        <v>3.4293999999999998</v>
      </c>
      <c r="K477" s="37">
        <v>412.75630000000001</v>
      </c>
      <c r="L477" s="37">
        <v>314.68810000000002</v>
      </c>
      <c r="M477" s="37">
        <v>185.42320000000001</v>
      </c>
    </row>
    <row r="478" spans="2:13" x14ac:dyDescent="0.15">
      <c r="B478" s="37" t="s">
        <v>664</v>
      </c>
      <c r="C478" s="37" t="s">
        <v>805</v>
      </c>
      <c r="D478" s="37" t="s">
        <v>1008</v>
      </c>
      <c r="E478" s="37" t="s">
        <v>9</v>
      </c>
      <c r="F478" s="37" t="s">
        <v>20</v>
      </c>
      <c r="G478" s="37" t="s">
        <v>42</v>
      </c>
      <c r="H478" s="37">
        <v>97.800700000000006</v>
      </c>
      <c r="I478" s="37">
        <v>61.680799999999998</v>
      </c>
      <c r="J478" s="37">
        <v>23.825800000000001</v>
      </c>
      <c r="K478" s="37">
        <v>4426.3535000000002</v>
      </c>
      <c r="L478" s="37">
        <v>2861.6763999999998</v>
      </c>
      <c r="M478" s="37">
        <v>975.65369999999996</v>
      </c>
    </row>
    <row r="479" spans="2:13" x14ac:dyDescent="0.15">
      <c r="B479" s="37" t="s">
        <v>665</v>
      </c>
      <c r="C479" s="37" t="s">
        <v>805</v>
      </c>
      <c r="D479" s="37" t="s">
        <v>1008</v>
      </c>
      <c r="E479" s="37" t="s">
        <v>9</v>
      </c>
      <c r="F479" s="37" t="s">
        <v>20</v>
      </c>
      <c r="G479" s="37" t="s">
        <v>17</v>
      </c>
      <c r="H479" s="37">
        <v>137.74010000000001</v>
      </c>
      <c r="I479" s="37">
        <v>71.2029</v>
      </c>
      <c r="J479" s="37">
        <v>36.735799999999998</v>
      </c>
      <c r="K479" s="37">
        <v>9592.0316999999995</v>
      </c>
      <c r="L479" s="37">
        <v>4713.7775000000001</v>
      </c>
      <c r="M479" s="37">
        <v>2155.8667</v>
      </c>
    </row>
    <row r="480" spans="2:13" x14ac:dyDescent="0.15">
      <c r="B480" s="37" t="s">
        <v>666</v>
      </c>
      <c r="C480" s="37" t="s">
        <v>805</v>
      </c>
      <c r="D480" s="37" t="s">
        <v>1008</v>
      </c>
      <c r="E480" s="37" t="s">
        <v>9</v>
      </c>
      <c r="F480" s="37" t="s">
        <v>30</v>
      </c>
      <c r="G480" s="37" t="s">
        <v>17</v>
      </c>
      <c r="H480" s="37">
        <v>34.508099999999999</v>
      </c>
      <c r="I480" s="37">
        <v>21.348800000000001</v>
      </c>
      <c r="J480" s="37">
        <v>13.753299999999999</v>
      </c>
      <c r="K480" s="37">
        <v>2073.3334</v>
      </c>
      <c r="L480" s="37">
        <v>1342.2397000000001</v>
      </c>
      <c r="M480" s="37">
        <v>736.28099999999995</v>
      </c>
    </row>
    <row r="481" spans="2:13" x14ac:dyDescent="0.15">
      <c r="B481" s="37" t="s">
        <v>670</v>
      </c>
      <c r="C481" s="37" t="s">
        <v>805</v>
      </c>
      <c r="D481" s="37" t="s">
        <v>1009</v>
      </c>
      <c r="E481" s="37" t="s">
        <v>9</v>
      </c>
      <c r="F481" s="37" t="s">
        <v>20</v>
      </c>
      <c r="G481" s="37" t="s">
        <v>42</v>
      </c>
      <c r="I481" s="37">
        <v>3.1300000000000001E-2</v>
      </c>
      <c r="L481" s="37">
        <v>1.2579</v>
      </c>
    </row>
    <row r="482" spans="2:13" x14ac:dyDescent="0.15">
      <c r="B482" s="37" t="s">
        <v>672</v>
      </c>
      <c r="C482" s="37" t="s">
        <v>806</v>
      </c>
      <c r="D482" s="37" t="s">
        <v>1010</v>
      </c>
      <c r="E482" s="37" t="s">
        <v>9</v>
      </c>
      <c r="F482" s="37" t="s">
        <v>64</v>
      </c>
      <c r="G482" s="37" t="s">
        <v>99</v>
      </c>
      <c r="H482" s="37">
        <v>7.7399999999999997E-2</v>
      </c>
      <c r="I482" s="37">
        <v>0.20100000000000001</v>
      </c>
      <c r="J482" s="37">
        <v>1.1599999999999999E-2</v>
      </c>
      <c r="K482" s="37">
        <v>1.2943</v>
      </c>
      <c r="L482" s="37">
        <v>3.8485999999999998</v>
      </c>
      <c r="M482" s="37">
        <v>0.1971</v>
      </c>
    </row>
    <row r="483" spans="2:13" x14ac:dyDescent="0.15">
      <c r="B483" s="37" t="s">
        <v>673</v>
      </c>
      <c r="C483" s="37" t="s">
        <v>806</v>
      </c>
      <c r="D483" s="37" t="s">
        <v>1010</v>
      </c>
      <c r="E483" s="37" t="s">
        <v>9</v>
      </c>
      <c r="F483" s="37" t="s">
        <v>20</v>
      </c>
      <c r="G483" s="37" t="s">
        <v>42</v>
      </c>
      <c r="H483" s="37">
        <v>6.8400000000000002E-2</v>
      </c>
      <c r="I483" s="37">
        <v>9.8500000000000004E-2</v>
      </c>
      <c r="J483" s="37">
        <v>3.8800000000000001E-2</v>
      </c>
      <c r="K483" s="37">
        <v>1.5943000000000001</v>
      </c>
      <c r="L483" s="37">
        <v>2.7256999999999998</v>
      </c>
      <c r="M483" s="37">
        <v>0.93600000000000005</v>
      </c>
    </row>
    <row r="484" spans="2:13" x14ac:dyDescent="0.15">
      <c r="B484" s="37" t="s">
        <v>675</v>
      </c>
      <c r="C484" s="37" t="s">
        <v>807</v>
      </c>
      <c r="D484" s="37" t="s">
        <v>1011</v>
      </c>
      <c r="E484" s="37" t="s">
        <v>9</v>
      </c>
      <c r="F484" s="37" t="s">
        <v>20</v>
      </c>
      <c r="G484" s="37" t="s">
        <v>21</v>
      </c>
      <c r="H484" s="37">
        <v>1.2095</v>
      </c>
      <c r="K484" s="37">
        <v>58.601599999999998</v>
      </c>
    </row>
    <row r="485" spans="2:13" x14ac:dyDescent="0.15">
      <c r="B485" s="37" t="s">
        <v>677</v>
      </c>
      <c r="C485" s="37" t="s">
        <v>807</v>
      </c>
      <c r="D485" s="37" t="s">
        <v>1011</v>
      </c>
      <c r="E485" s="37" t="s">
        <v>9</v>
      </c>
      <c r="F485" s="37" t="s">
        <v>20</v>
      </c>
      <c r="G485" s="37" t="s">
        <v>24</v>
      </c>
      <c r="H485" s="37">
        <v>3.4049</v>
      </c>
      <c r="K485" s="37">
        <v>181.5942</v>
      </c>
    </row>
    <row r="486" spans="2:13" x14ac:dyDescent="0.15">
      <c r="B486" s="37" t="s">
        <v>678</v>
      </c>
      <c r="C486" s="37" t="s">
        <v>807</v>
      </c>
      <c r="D486" s="37" t="s">
        <v>1011</v>
      </c>
      <c r="E486" s="37" t="s">
        <v>9</v>
      </c>
      <c r="F486" s="37" t="s">
        <v>20</v>
      </c>
      <c r="G486" s="37" t="s">
        <v>42</v>
      </c>
      <c r="H486" s="37">
        <v>0.27539999999999998</v>
      </c>
      <c r="K486" s="37">
        <v>11.6632</v>
      </c>
    </row>
    <row r="487" spans="2:13" x14ac:dyDescent="0.15">
      <c r="B487" s="37" t="s">
        <v>679</v>
      </c>
      <c r="C487" s="37" t="s">
        <v>807</v>
      </c>
      <c r="D487" s="37" t="s">
        <v>1011</v>
      </c>
      <c r="E487" s="37" t="s">
        <v>9</v>
      </c>
      <c r="F487" s="37" t="s">
        <v>20</v>
      </c>
      <c r="G487" s="37" t="s">
        <v>42</v>
      </c>
      <c r="H487" s="37">
        <v>0.36249999999999999</v>
      </c>
      <c r="K487" s="37">
        <v>17.400500000000001</v>
      </c>
    </row>
    <row r="488" spans="2:13" x14ac:dyDescent="0.15">
      <c r="B488" s="37" t="s">
        <v>827</v>
      </c>
      <c r="C488" s="37" t="s">
        <v>809</v>
      </c>
      <c r="D488" s="37" t="s">
        <v>1012</v>
      </c>
      <c r="E488" s="37" t="s">
        <v>9</v>
      </c>
      <c r="F488" s="37" t="s">
        <v>20</v>
      </c>
      <c r="G488" s="37" t="s">
        <v>24</v>
      </c>
      <c r="J488" s="37">
        <v>3.1633</v>
      </c>
      <c r="M488" s="37">
        <v>171.71680000000001</v>
      </c>
    </row>
    <row r="489" spans="2:13" x14ac:dyDescent="0.15">
      <c r="B489" s="37" t="s">
        <v>685</v>
      </c>
      <c r="C489" s="37" t="s">
        <v>810</v>
      </c>
      <c r="D489" s="37" t="s">
        <v>1013</v>
      </c>
      <c r="E489" s="37" t="s">
        <v>9</v>
      </c>
      <c r="F489" s="37" t="s">
        <v>20</v>
      </c>
      <c r="G489" s="37" t="s">
        <v>24</v>
      </c>
      <c r="I489" s="37">
        <v>10.313499999999999</v>
      </c>
      <c r="J489" s="37">
        <v>10.635400000000001</v>
      </c>
      <c r="L489" s="37">
        <v>475.9119</v>
      </c>
      <c r="M489" s="37">
        <v>461.80500000000001</v>
      </c>
    </row>
    <row r="490" spans="2:13" x14ac:dyDescent="0.15">
      <c r="B490" s="37" t="s">
        <v>686</v>
      </c>
      <c r="C490" s="37" t="s">
        <v>810</v>
      </c>
      <c r="D490" s="37" t="s">
        <v>1013</v>
      </c>
      <c r="E490" s="37" t="s">
        <v>9</v>
      </c>
      <c r="F490" s="37" t="s">
        <v>20</v>
      </c>
      <c r="G490" s="37" t="s">
        <v>42</v>
      </c>
      <c r="H490" s="37">
        <v>54.988799999999998</v>
      </c>
      <c r="I490" s="37">
        <v>32.909799999999997</v>
      </c>
      <c r="J490" s="37">
        <v>13.822900000000001</v>
      </c>
      <c r="K490" s="37">
        <v>1994.8981000000001</v>
      </c>
      <c r="L490" s="37">
        <v>1164.6792</v>
      </c>
      <c r="M490" s="37">
        <v>463.84859999999998</v>
      </c>
    </row>
    <row r="491" spans="2:13" x14ac:dyDescent="0.15">
      <c r="B491" s="37" t="s">
        <v>688</v>
      </c>
      <c r="C491" s="37" t="s">
        <v>810</v>
      </c>
      <c r="D491" s="37" t="s">
        <v>1014</v>
      </c>
      <c r="E491" s="37" t="s">
        <v>9</v>
      </c>
      <c r="F491" s="37" t="s">
        <v>20</v>
      </c>
      <c r="G491" s="37" t="s">
        <v>42</v>
      </c>
      <c r="H491" s="37">
        <v>0.1076</v>
      </c>
      <c r="I491" s="37">
        <v>0.1249</v>
      </c>
      <c r="J491" s="37">
        <v>7.1900000000000006E-2</v>
      </c>
      <c r="K491" s="37">
        <v>5.5374999999999996</v>
      </c>
      <c r="L491" s="37">
        <v>6.4203000000000001</v>
      </c>
      <c r="M491" s="37">
        <v>3.698</v>
      </c>
    </row>
    <row r="492" spans="2:13" x14ac:dyDescent="0.15">
      <c r="B492" s="37" t="s">
        <v>690</v>
      </c>
      <c r="C492" s="37" t="s">
        <v>811</v>
      </c>
      <c r="D492" s="37" t="s">
        <v>1015</v>
      </c>
      <c r="E492" s="37" t="s">
        <v>9</v>
      </c>
      <c r="F492" s="37" t="s">
        <v>30</v>
      </c>
      <c r="G492" s="37" t="s">
        <v>99</v>
      </c>
      <c r="H492" s="37">
        <v>0.30349999999999999</v>
      </c>
      <c r="I492" s="37">
        <v>7.7100000000000002E-2</v>
      </c>
      <c r="K492" s="37">
        <v>10.7111</v>
      </c>
      <c r="L492" s="37">
        <v>2.9864999999999999</v>
      </c>
    </row>
    <row r="493" spans="2:13" x14ac:dyDescent="0.15">
      <c r="B493" s="37" t="s">
        <v>691</v>
      </c>
      <c r="C493" s="37" t="s">
        <v>811</v>
      </c>
      <c r="D493" s="37" t="s">
        <v>1015</v>
      </c>
      <c r="E493" s="37" t="s">
        <v>9</v>
      </c>
      <c r="F493" s="37" t="s">
        <v>30</v>
      </c>
      <c r="G493" s="37" t="s">
        <v>42</v>
      </c>
      <c r="H493" s="37">
        <v>34.620800000000003</v>
      </c>
      <c r="I493" s="37">
        <v>13.6218</v>
      </c>
      <c r="J493" s="37">
        <v>2.1793999999999998</v>
      </c>
      <c r="K493" s="37">
        <v>2351.0409</v>
      </c>
      <c r="L493" s="37">
        <v>917.37919999999997</v>
      </c>
      <c r="M493" s="37">
        <v>151.65029999999999</v>
      </c>
    </row>
    <row r="494" spans="2:13" x14ac:dyDescent="0.15">
      <c r="B494" s="37" t="s">
        <v>693</v>
      </c>
      <c r="C494" s="37" t="s">
        <v>812</v>
      </c>
      <c r="D494" s="37" t="s">
        <v>1016</v>
      </c>
      <c r="E494" s="37" t="s">
        <v>9</v>
      </c>
      <c r="F494" s="37" t="s">
        <v>10</v>
      </c>
      <c r="G494" s="37" t="s">
        <v>24</v>
      </c>
      <c r="J494" s="37">
        <v>1.9407000000000001</v>
      </c>
      <c r="M494" s="37">
        <v>110.1146</v>
      </c>
    </row>
    <row r="495" spans="2:13" x14ac:dyDescent="0.15">
      <c r="B495" s="37" t="s">
        <v>695</v>
      </c>
      <c r="C495" s="37" t="s">
        <v>813</v>
      </c>
      <c r="D495" s="37" t="s">
        <v>1017</v>
      </c>
      <c r="E495" s="37" t="s">
        <v>9</v>
      </c>
      <c r="F495" s="37" t="s">
        <v>20</v>
      </c>
      <c r="G495" s="37" t="s">
        <v>42</v>
      </c>
      <c r="H495" s="37">
        <v>2.0785999999999998</v>
      </c>
      <c r="I495" s="37">
        <v>7.1199999999999999E-2</v>
      </c>
      <c r="K495" s="37">
        <v>104.04649999999999</v>
      </c>
      <c r="L495" s="37">
        <v>3.8216000000000001</v>
      </c>
    </row>
    <row r="496" spans="2:13" x14ac:dyDescent="0.15">
      <c r="B496" s="37" t="s">
        <v>697</v>
      </c>
      <c r="C496" s="37" t="s">
        <v>814</v>
      </c>
      <c r="D496" s="37" t="s">
        <v>1018</v>
      </c>
      <c r="E496" s="37" t="s">
        <v>9</v>
      </c>
      <c r="F496" s="37" t="s">
        <v>30</v>
      </c>
      <c r="G496" s="37" t="s">
        <v>24</v>
      </c>
      <c r="J496" s="37">
        <v>0.1532</v>
      </c>
      <c r="M496" s="37">
        <v>9.1946999999999992</v>
      </c>
    </row>
    <row r="497" spans="2:13" x14ac:dyDescent="0.15">
      <c r="B497" s="37" t="s">
        <v>699</v>
      </c>
      <c r="C497" s="37" t="s">
        <v>814</v>
      </c>
      <c r="D497" s="37" t="s">
        <v>1019</v>
      </c>
      <c r="E497" s="37" t="s">
        <v>9</v>
      </c>
      <c r="F497" s="37" t="s">
        <v>30</v>
      </c>
      <c r="G497" s="37" t="s">
        <v>42</v>
      </c>
      <c r="I497" s="37">
        <v>2.8000000000000001E-2</v>
      </c>
      <c r="J497" s="37">
        <v>14.061199999999999</v>
      </c>
      <c r="L497" s="37">
        <v>1.8513999999999999</v>
      </c>
      <c r="M497" s="37">
        <v>850.57989999999995</v>
      </c>
    </row>
    <row r="498" spans="2:13" x14ac:dyDescent="0.15">
      <c r="B498" s="37" t="s">
        <v>700</v>
      </c>
      <c r="C498" s="37" t="s">
        <v>814</v>
      </c>
      <c r="D498" s="37" t="s">
        <v>1019</v>
      </c>
      <c r="E498" s="37" t="s">
        <v>9</v>
      </c>
      <c r="F498" s="37" t="s">
        <v>30</v>
      </c>
      <c r="G498" s="37" t="s">
        <v>42</v>
      </c>
      <c r="I498" s="37">
        <v>3.1899999999999998E-2</v>
      </c>
      <c r="J498" s="37">
        <v>8.1054999999999993</v>
      </c>
      <c r="L498" s="37">
        <v>2.1086</v>
      </c>
      <c r="M498" s="37">
        <v>502.96</v>
      </c>
    </row>
    <row r="499" spans="2:13" x14ac:dyDescent="0.15">
      <c r="B499" s="37" t="s">
        <v>704</v>
      </c>
      <c r="C499" s="37" t="s">
        <v>816</v>
      </c>
      <c r="D499" s="37" t="s">
        <v>1020</v>
      </c>
      <c r="E499" s="37" t="s">
        <v>9</v>
      </c>
      <c r="F499" s="37" t="s">
        <v>30</v>
      </c>
      <c r="G499" s="37" t="s">
        <v>24</v>
      </c>
      <c r="H499" s="37">
        <v>25.839099999999998</v>
      </c>
      <c r="I499" s="37">
        <v>9.0121000000000002</v>
      </c>
      <c r="J499" s="37">
        <v>10.0204</v>
      </c>
      <c r="K499" s="37">
        <v>1539.4739</v>
      </c>
      <c r="L499" s="37">
        <v>509.45670000000001</v>
      </c>
      <c r="M499" s="37">
        <v>585.52229999999997</v>
      </c>
    </row>
    <row r="500" spans="2:13" x14ac:dyDescent="0.15">
      <c r="B500" s="37" t="s">
        <v>706</v>
      </c>
      <c r="C500" s="37" t="s">
        <v>817</v>
      </c>
      <c r="D500" s="37" t="s">
        <v>1021</v>
      </c>
      <c r="E500" s="37" t="s">
        <v>9</v>
      </c>
      <c r="F500" s="37" t="s">
        <v>249</v>
      </c>
      <c r="G500" s="37" t="s">
        <v>15</v>
      </c>
      <c r="H500" s="37">
        <v>9.0969999999999995</v>
      </c>
      <c r="I500" s="37">
        <v>13.0891</v>
      </c>
      <c r="J500" s="37">
        <v>4.6460999999999997</v>
      </c>
      <c r="K500" s="37">
        <v>134.3818</v>
      </c>
      <c r="L500" s="37">
        <v>186.4109</v>
      </c>
      <c r="M500" s="37">
        <v>56.316099999999999</v>
      </c>
    </row>
    <row r="501" spans="2:13" x14ac:dyDescent="0.15">
      <c r="B501" s="37" t="s">
        <v>707</v>
      </c>
      <c r="C501" s="37" t="s">
        <v>817</v>
      </c>
      <c r="D501" s="37" t="s">
        <v>1021</v>
      </c>
      <c r="E501" s="37" t="s">
        <v>9</v>
      </c>
      <c r="F501" s="37" t="s">
        <v>64</v>
      </c>
      <c r="G501" s="37" t="s">
        <v>15</v>
      </c>
      <c r="H501" s="37">
        <v>10.3986</v>
      </c>
      <c r="I501" s="37">
        <v>26.6724</v>
      </c>
      <c r="J501" s="37">
        <v>21.6234</v>
      </c>
      <c r="K501" s="37">
        <v>151.6679</v>
      </c>
      <c r="L501" s="37">
        <v>465.6979</v>
      </c>
      <c r="M501" s="37">
        <v>443.52179999999998</v>
      </c>
    </row>
    <row r="502" spans="2:13" x14ac:dyDescent="0.15">
      <c r="B502" s="37" t="s">
        <v>709</v>
      </c>
      <c r="C502" s="37" t="s">
        <v>818</v>
      </c>
      <c r="D502" s="37" t="s">
        <v>1017</v>
      </c>
      <c r="E502" s="37" t="s">
        <v>9</v>
      </c>
      <c r="F502" s="37" t="s">
        <v>20</v>
      </c>
      <c r="G502" s="37" t="s">
        <v>42</v>
      </c>
      <c r="H502" s="37">
        <v>1.8396999999999999</v>
      </c>
      <c r="I502" s="37">
        <v>4.3616000000000001</v>
      </c>
      <c r="K502" s="37">
        <v>115.49760000000001</v>
      </c>
      <c r="L502" s="37">
        <v>300.46589999999998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237C-E5FC-9D47-BBCD-1D5B56FC356C}">
  <dimension ref="A3:G102"/>
  <sheetViews>
    <sheetView workbookViewId="0"/>
  </sheetViews>
  <sheetFormatPr baseColWidth="10" defaultRowHeight="12" x14ac:dyDescent="0.15"/>
  <cols>
    <col min="1" max="1" width="28.1640625" style="37" bestFit="1" customWidth="1"/>
    <col min="2" max="3" width="14.5" style="37" bestFit="1" customWidth="1"/>
    <col min="4" max="4" width="16.33203125" style="37" bestFit="1" customWidth="1"/>
    <col min="5" max="6" width="15.83203125" style="37" bestFit="1" customWidth="1"/>
    <col min="7" max="7" width="17.6640625" style="37" bestFit="1" customWidth="1"/>
    <col min="8" max="16384" width="10.83203125" style="37"/>
  </cols>
  <sheetData>
    <row r="3" spans="1:7" x14ac:dyDescent="0.15">
      <c r="A3" s="37" t="s">
        <v>1022</v>
      </c>
      <c r="B3" s="37" t="s">
        <v>1024</v>
      </c>
      <c r="C3" s="37" t="s">
        <v>1025</v>
      </c>
      <c r="D3" s="37" t="s">
        <v>1026</v>
      </c>
      <c r="E3" s="37" t="s">
        <v>1027</v>
      </c>
      <c r="F3" s="37" t="s">
        <v>1028</v>
      </c>
      <c r="G3" s="37" t="s">
        <v>1029</v>
      </c>
    </row>
    <row r="4" spans="1:7" x14ac:dyDescent="0.15">
      <c r="A4" s="40" t="s">
        <v>727</v>
      </c>
      <c r="B4" s="41">
        <v>113.3091</v>
      </c>
      <c r="C4" s="41">
        <v>81.313800000000015</v>
      </c>
      <c r="D4" s="41">
        <v>48.297300000000007</v>
      </c>
      <c r="E4" s="41">
        <v>1483.433</v>
      </c>
      <c r="F4" s="41">
        <v>1045.7730999999999</v>
      </c>
      <c r="G4" s="41">
        <v>598.3963</v>
      </c>
    </row>
    <row r="5" spans="1:7" x14ac:dyDescent="0.15">
      <c r="A5" s="40" t="s">
        <v>717</v>
      </c>
      <c r="B5" s="41">
        <v>0.70520000000000005</v>
      </c>
      <c r="C5" s="41"/>
      <c r="D5" s="41"/>
      <c r="E5" s="41">
        <v>47.325299999999999</v>
      </c>
      <c r="F5" s="41"/>
      <c r="G5" s="41"/>
    </row>
    <row r="6" spans="1:7" x14ac:dyDescent="0.15">
      <c r="A6" s="40" t="s">
        <v>719</v>
      </c>
      <c r="B6" s="41">
        <v>1.5393000000000001</v>
      </c>
      <c r="C6" s="41">
        <v>2.0579000000000001</v>
      </c>
      <c r="D6" s="41">
        <v>0.68209999999999993</v>
      </c>
      <c r="E6" s="41">
        <v>71.357399999999998</v>
      </c>
      <c r="F6" s="41">
        <v>96.843099999999993</v>
      </c>
      <c r="G6" s="41">
        <v>27.710999999999999</v>
      </c>
    </row>
    <row r="7" spans="1:7" x14ac:dyDescent="0.15">
      <c r="A7" s="40" t="s">
        <v>718</v>
      </c>
      <c r="B7" s="41">
        <v>104.6661</v>
      </c>
      <c r="C7" s="41">
        <v>94.425000000000011</v>
      </c>
      <c r="D7" s="41">
        <v>45.948399999999999</v>
      </c>
      <c r="E7" s="41">
        <v>5728.6424000000006</v>
      </c>
      <c r="F7" s="41">
        <v>5002.3732</v>
      </c>
      <c r="G7" s="41">
        <v>2228.9191000000001</v>
      </c>
    </row>
    <row r="8" spans="1:7" x14ac:dyDescent="0.15">
      <c r="A8" s="40" t="s">
        <v>721</v>
      </c>
      <c r="B8" s="41">
        <v>11.963200000000001</v>
      </c>
      <c r="C8" s="41">
        <v>18.136400000000002</v>
      </c>
      <c r="D8" s="41">
        <v>9.0268999999999995</v>
      </c>
      <c r="E8" s="41">
        <v>603.27649999999994</v>
      </c>
      <c r="F8" s="41">
        <v>937.45159999999987</v>
      </c>
      <c r="G8" s="41">
        <v>454.77449999999999</v>
      </c>
    </row>
    <row r="9" spans="1:7" x14ac:dyDescent="0.15">
      <c r="A9" s="40" t="s">
        <v>724</v>
      </c>
      <c r="B9" s="41"/>
      <c r="C9" s="41"/>
      <c r="D9" s="41">
        <v>5.57E-2</v>
      </c>
      <c r="E9" s="41"/>
      <c r="F9" s="41"/>
      <c r="G9" s="41">
        <v>1.7425999999999999</v>
      </c>
    </row>
    <row r="10" spans="1:7" x14ac:dyDescent="0.15">
      <c r="A10" s="40" t="s">
        <v>747</v>
      </c>
      <c r="B10" s="41">
        <v>9.1873000000000005</v>
      </c>
      <c r="C10" s="41"/>
      <c r="D10" s="41"/>
      <c r="E10" s="41">
        <v>430.16890000000001</v>
      </c>
      <c r="F10" s="41"/>
      <c r="G10" s="41"/>
    </row>
    <row r="11" spans="1:7" x14ac:dyDescent="0.15">
      <c r="A11" s="40" t="s">
        <v>725</v>
      </c>
      <c r="B11" s="41">
        <v>471.64439999999991</v>
      </c>
      <c r="C11" s="41">
        <v>448.00139999999999</v>
      </c>
      <c r="D11" s="41">
        <v>276.14019999999999</v>
      </c>
      <c r="E11" s="41">
        <v>13724.1564</v>
      </c>
      <c r="F11" s="41">
        <v>13181.3513</v>
      </c>
      <c r="G11" s="41">
        <v>8823.5240000000013</v>
      </c>
    </row>
    <row r="12" spans="1:7" x14ac:dyDescent="0.15">
      <c r="A12" s="40" t="s">
        <v>713</v>
      </c>
      <c r="B12" s="41">
        <v>1.09E-2</v>
      </c>
      <c r="C12" s="41"/>
      <c r="D12" s="41"/>
      <c r="E12" s="41">
        <v>0.16</v>
      </c>
      <c r="F12" s="41"/>
      <c r="G12" s="41"/>
    </row>
    <row r="13" spans="1:7" x14ac:dyDescent="0.15">
      <c r="A13" s="40" t="s">
        <v>728</v>
      </c>
      <c r="B13" s="41">
        <v>0.52039999999999997</v>
      </c>
      <c r="C13" s="41">
        <v>1.6072</v>
      </c>
      <c r="D13" s="41">
        <v>0.16420000000000001</v>
      </c>
      <c r="E13" s="41">
        <v>10.5198</v>
      </c>
      <c r="F13" s="41">
        <v>34.4998</v>
      </c>
      <c r="G13" s="41">
        <v>3.1461000000000001</v>
      </c>
    </row>
    <row r="14" spans="1:7" x14ac:dyDescent="0.15">
      <c r="A14" s="40" t="s">
        <v>810</v>
      </c>
      <c r="B14" s="41">
        <v>55.096399999999996</v>
      </c>
      <c r="C14" s="41">
        <v>43.348199999999991</v>
      </c>
      <c r="D14" s="41">
        <v>24.530200000000001</v>
      </c>
      <c r="E14" s="41">
        <v>2000.4356</v>
      </c>
      <c r="F14" s="41">
        <v>1647.0114000000001</v>
      </c>
      <c r="G14" s="41">
        <v>929.35159999999996</v>
      </c>
    </row>
    <row r="15" spans="1:7" x14ac:dyDescent="0.15">
      <c r="A15" s="40" t="s">
        <v>716</v>
      </c>
      <c r="B15" s="41"/>
      <c r="C15" s="41">
        <v>4.4634999999999998</v>
      </c>
      <c r="D15" s="41">
        <v>5.9010000000000007</v>
      </c>
      <c r="E15" s="41"/>
      <c r="F15" s="41">
        <v>231.33420000000001</v>
      </c>
      <c r="G15" s="41">
        <v>348.19820000000004</v>
      </c>
    </row>
    <row r="16" spans="1:7" x14ac:dyDescent="0.15">
      <c r="A16" s="40" t="s">
        <v>760</v>
      </c>
      <c r="B16" s="41">
        <v>0.33289999999999997</v>
      </c>
      <c r="C16" s="41">
        <v>2.7199999999999998E-2</v>
      </c>
      <c r="D16" s="41">
        <v>1.4401999999999999</v>
      </c>
      <c r="E16" s="41">
        <v>16.585699999999999</v>
      </c>
      <c r="F16" s="41">
        <v>2.2242999999999999</v>
      </c>
      <c r="G16" s="41">
        <v>35.560600000000001</v>
      </c>
    </row>
    <row r="17" spans="1:7" x14ac:dyDescent="0.15">
      <c r="A17" s="40" t="s">
        <v>759</v>
      </c>
      <c r="B17" s="41">
        <v>1.1900000000000001E-2</v>
      </c>
      <c r="C17" s="41"/>
      <c r="D17" s="41"/>
      <c r="E17" s="41">
        <v>0.14000000000000001</v>
      </c>
      <c r="F17" s="41"/>
      <c r="G17" s="41"/>
    </row>
    <row r="18" spans="1:7" x14ac:dyDescent="0.15">
      <c r="A18" s="40" t="s">
        <v>754</v>
      </c>
      <c r="B18" s="41">
        <v>220.27779999999998</v>
      </c>
      <c r="C18" s="41">
        <v>271.9984</v>
      </c>
      <c r="D18" s="41">
        <v>141.2388</v>
      </c>
      <c r="E18" s="41">
        <v>1748.9223999999999</v>
      </c>
      <c r="F18" s="41">
        <v>2358.5311999999999</v>
      </c>
      <c r="G18" s="41">
        <v>1240.7412999999999</v>
      </c>
    </row>
    <row r="19" spans="1:7" x14ac:dyDescent="0.15">
      <c r="A19" s="40" t="s">
        <v>733</v>
      </c>
      <c r="B19" s="41"/>
      <c r="C19" s="41">
        <v>1.8077000000000001</v>
      </c>
      <c r="D19" s="41">
        <v>54.250700000000002</v>
      </c>
      <c r="E19" s="41"/>
      <c r="F19" s="41">
        <v>127.6024</v>
      </c>
      <c r="G19" s="41">
        <v>2956.24</v>
      </c>
    </row>
    <row r="20" spans="1:7" x14ac:dyDescent="0.15">
      <c r="A20" s="40" t="s">
        <v>749</v>
      </c>
      <c r="B20" s="41">
        <v>230.7483</v>
      </c>
      <c r="C20" s="41">
        <v>302.06579999999997</v>
      </c>
      <c r="D20" s="41">
        <v>144.00239999999999</v>
      </c>
      <c r="E20" s="41">
        <v>11792.6654</v>
      </c>
      <c r="F20" s="41">
        <v>15544.817700000001</v>
      </c>
      <c r="G20" s="41">
        <v>7126.6585000000005</v>
      </c>
    </row>
    <row r="21" spans="1:7" x14ac:dyDescent="0.15">
      <c r="A21" s="40" t="s">
        <v>731</v>
      </c>
      <c r="B21" s="41">
        <v>36.026000000000003</v>
      </c>
      <c r="C21" s="41">
        <v>55.229700000000001</v>
      </c>
      <c r="D21" s="41">
        <v>85.139499999999998</v>
      </c>
      <c r="E21" s="41">
        <v>1024.5518</v>
      </c>
      <c r="F21" s="41">
        <v>1623.7086999999999</v>
      </c>
      <c r="G21" s="41">
        <v>2439.0853000000002</v>
      </c>
    </row>
    <row r="22" spans="1:7" x14ac:dyDescent="0.15">
      <c r="A22" s="40" t="s">
        <v>732</v>
      </c>
      <c r="B22" s="41">
        <v>1.03E-2</v>
      </c>
      <c r="C22" s="41"/>
      <c r="D22" s="41"/>
      <c r="E22" s="41">
        <v>0.3876</v>
      </c>
      <c r="F22" s="41"/>
      <c r="G22" s="41"/>
    </row>
    <row r="23" spans="1:7" x14ac:dyDescent="0.15">
      <c r="A23" s="40" t="s">
        <v>795</v>
      </c>
      <c r="B23" s="41">
        <v>65.863799999999998</v>
      </c>
      <c r="C23" s="41">
        <v>45.340400000000002</v>
      </c>
      <c r="D23" s="41">
        <v>13.16</v>
      </c>
      <c r="E23" s="41">
        <v>4126.7389000000003</v>
      </c>
      <c r="F23" s="41">
        <v>2357.3103000000001</v>
      </c>
      <c r="G23" s="41">
        <v>741.50080000000003</v>
      </c>
    </row>
    <row r="24" spans="1:7" x14ac:dyDescent="0.15">
      <c r="A24" s="40" t="s">
        <v>764</v>
      </c>
      <c r="B24" s="41">
        <v>11.181699999999999</v>
      </c>
      <c r="C24" s="41">
        <v>15.1816</v>
      </c>
      <c r="D24" s="41">
        <v>9.6165000000000003</v>
      </c>
      <c r="E24" s="41">
        <v>586.38080000000002</v>
      </c>
      <c r="F24" s="41">
        <v>752.94479999999999</v>
      </c>
      <c r="G24" s="41">
        <v>438.76389999999998</v>
      </c>
    </row>
    <row r="25" spans="1:7" x14ac:dyDescent="0.15">
      <c r="A25" s="40" t="s">
        <v>734</v>
      </c>
      <c r="B25" s="41"/>
      <c r="C25" s="41">
        <v>0.1202</v>
      </c>
      <c r="D25" s="41"/>
      <c r="E25" s="41"/>
      <c r="F25" s="41">
        <v>2.4085999999999999</v>
      </c>
      <c r="G25" s="41"/>
    </row>
    <row r="26" spans="1:7" x14ac:dyDescent="0.15">
      <c r="A26" s="40" t="s">
        <v>735</v>
      </c>
      <c r="B26" s="41">
        <v>212.4264</v>
      </c>
      <c r="C26" s="41">
        <v>118.9335</v>
      </c>
      <c r="D26" s="41">
        <v>32.277000000000001</v>
      </c>
      <c r="E26" s="41">
        <v>11963.1037</v>
      </c>
      <c r="F26" s="41">
        <v>6284.8911999999991</v>
      </c>
      <c r="G26" s="41">
        <v>1340.7376999999999</v>
      </c>
    </row>
    <row r="27" spans="1:7" x14ac:dyDescent="0.15">
      <c r="A27" s="40" t="s">
        <v>722</v>
      </c>
      <c r="B27" s="41"/>
      <c r="C27" s="41">
        <v>13.192</v>
      </c>
      <c r="D27" s="41">
        <v>52.811099999999996</v>
      </c>
      <c r="E27" s="41"/>
      <c r="F27" s="41">
        <v>565.53910000000008</v>
      </c>
      <c r="G27" s="41">
        <v>2091.2260999999999</v>
      </c>
    </row>
    <row r="28" spans="1:7" x14ac:dyDescent="0.15">
      <c r="A28" s="40" t="s">
        <v>782</v>
      </c>
      <c r="B28" s="41"/>
      <c r="C28" s="41"/>
      <c r="D28" s="41">
        <v>9.8000000000000004E-2</v>
      </c>
      <c r="E28" s="41"/>
      <c r="F28" s="41"/>
      <c r="G28" s="41">
        <v>3.3592</v>
      </c>
    </row>
    <row r="29" spans="1:7" x14ac:dyDescent="0.15">
      <c r="A29" s="40" t="s">
        <v>723</v>
      </c>
      <c r="B29" s="41">
        <v>3.1665000000000001</v>
      </c>
      <c r="C29" s="41">
        <v>2.1886999999999999</v>
      </c>
      <c r="D29" s="41">
        <v>0.46299999999999997</v>
      </c>
      <c r="E29" s="41">
        <v>65.203199999999995</v>
      </c>
      <c r="F29" s="41">
        <v>50.370399999999997</v>
      </c>
      <c r="G29" s="41">
        <v>10.166499999999999</v>
      </c>
    </row>
    <row r="30" spans="1:7" x14ac:dyDescent="0.15">
      <c r="A30" s="40" t="s">
        <v>784</v>
      </c>
      <c r="B30" s="41">
        <v>0.36020000000000002</v>
      </c>
      <c r="C30" s="41">
        <v>5.21E-2</v>
      </c>
      <c r="D30" s="41">
        <v>9.4000000000000004E-3</v>
      </c>
      <c r="E30" s="41">
        <v>19.065100000000001</v>
      </c>
      <c r="F30" s="41">
        <v>2.6206</v>
      </c>
      <c r="G30" s="41">
        <v>0.48</v>
      </c>
    </row>
    <row r="31" spans="1:7" x14ac:dyDescent="0.15">
      <c r="A31" s="40" t="s">
        <v>737</v>
      </c>
      <c r="B31" s="41">
        <v>8.9794</v>
      </c>
      <c r="C31" s="41"/>
      <c r="D31" s="41"/>
      <c r="E31" s="41">
        <v>618.46879999999999</v>
      </c>
      <c r="F31" s="41"/>
      <c r="G31" s="41"/>
    </row>
    <row r="32" spans="1:7" x14ac:dyDescent="0.15">
      <c r="A32" s="40" t="s">
        <v>738</v>
      </c>
      <c r="B32" s="41">
        <v>28.101299999999998</v>
      </c>
      <c r="C32" s="41">
        <v>242.19460000000001</v>
      </c>
      <c r="D32" s="41">
        <v>67.606300000000005</v>
      </c>
      <c r="E32" s="41">
        <v>1283.3091999999999</v>
      </c>
      <c r="F32" s="41">
        <v>13602.248999999998</v>
      </c>
      <c r="G32" s="41">
        <v>3938.0097999999998</v>
      </c>
    </row>
    <row r="33" spans="1:7" x14ac:dyDescent="0.15">
      <c r="A33" s="40" t="s">
        <v>739</v>
      </c>
      <c r="B33" s="41"/>
      <c r="C33" s="41">
        <v>170.66500000000002</v>
      </c>
      <c r="D33" s="41">
        <v>101.533</v>
      </c>
      <c r="E33" s="41"/>
      <c r="F33" s="41">
        <v>10947.355800000001</v>
      </c>
      <c r="G33" s="41">
        <v>5713.8588</v>
      </c>
    </row>
    <row r="34" spans="1:7" x14ac:dyDescent="0.15">
      <c r="A34" s="40" t="s">
        <v>741</v>
      </c>
      <c r="B34" s="41">
        <v>8.6898999999999997</v>
      </c>
      <c r="C34" s="41">
        <v>1.198</v>
      </c>
      <c r="D34" s="41">
        <v>0.1404</v>
      </c>
      <c r="E34" s="41">
        <v>161.0712</v>
      </c>
      <c r="F34" s="41">
        <v>29.083500000000001</v>
      </c>
      <c r="G34" s="41">
        <v>1.4401999999999999</v>
      </c>
    </row>
    <row r="35" spans="1:7" x14ac:dyDescent="0.15">
      <c r="A35" s="40" t="s">
        <v>799</v>
      </c>
      <c r="B35" s="41">
        <v>60.899099999999997</v>
      </c>
      <c r="C35" s="41">
        <v>35.979600000000005</v>
      </c>
      <c r="D35" s="41">
        <v>13.2828</v>
      </c>
      <c r="E35" s="41">
        <v>1646.9926999999998</v>
      </c>
      <c r="F35" s="41">
        <v>1006.4904</v>
      </c>
      <c r="G35" s="41">
        <v>408.45429999999999</v>
      </c>
    </row>
    <row r="36" spans="1:7" x14ac:dyDescent="0.15">
      <c r="A36" s="40" t="s">
        <v>742</v>
      </c>
      <c r="B36" s="41">
        <v>15.6526</v>
      </c>
      <c r="C36" s="41">
        <v>38.264299999999999</v>
      </c>
      <c r="D36" s="41">
        <v>12.5625</v>
      </c>
      <c r="E36" s="41">
        <v>709.86449999999991</v>
      </c>
      <c r="F36" s="41">
        <v>1422.4409000000001</v>
      </c>
      <c r="G36" s="41">
        <v>440.1789</v>
      </c>
    </row>
    <row r="37" spans="1:7" x14ac:dyDescent="0.15">
      <c r="A37" s="40" t="s">
        <v>787</v>
      </c>
      <c r="B37" s="41">
        <v>1.4567000000000001</v>
      </c>
      <c r="C37" s="41">
        <v>0.97109999999999996</v>
      </c>
      <c r="D37" s="41">
        <v>0.44120000000000004</v>
      </c>
      <c r="E37" s="41">
        <v>8.1128999999999998</v>
      </c>
      <c r="F37" s="41">
        <v>4.8048999999999999</v>
      </c>
      <c r="G37" s="41">
        <v>2.4375</v>
      </c>
    </row>
    <row r="38" spans="1:7" x14ac:dyDescent="0.15">
      <c r="A38" s="40" t="s">
        <v>743</v>
      </c>
      <c r="B38" s="41">
        <v>9.2643000000000004</v>
      </c>
      <c r="C38" s="41">
        <v>0.1729</v>
      </c>
      <c r="D38" s="41">
        <v>3.0000000000000001E-3</v>
      </c>
      <c r="E38" s="41">
        <v>358.95989999999995</v>
      </c>
      <c r="F38" s="41">
        <v>4.9572000000000003</v>
      </c>
      <c r="G38" s="41">
        <v>7.1999999999999995E-2</v>
      </c>
    </row>
    <row r="39" spans="1:7" x14ac:dyDescent="0.15">
      <c r="A39" s="40" t="s">
        <v>813</v>
      </c>
      <c r="B39" s="41">
        <v>2.0785999999999998</v>
      </c>
      <c r="C39" s="41">
        <v>7.1199999999999999E-2</v>
      </c>
      <c r="D39" s="41"/>
      <c r="E39" s="41">
        <v>104.04649999999999</v>
      </c>
      <c r="F39" s="41">
        <v>3.8216000000000001</v>
      </c>
      <c r="G39" s="41"/>
    </row>
    <row r="40" spans="1:7" x14ac:dyDescent="0.15">
      <c r="A40" s="40" t="s">
        <v>720</v>
      </c>
      <c r="B40" s="41">
        <v>4.4499999999999998E-2</v>
      </c>
      <c r="C40" s="41">
        <v>6.2E-2</v>
      </c>
      <c r="D40" s="41"/>
      <c r="E40" s="41">
        <v>0.36759999999999998</v>
      </c>
      <c r="F40" s="41">
        <v>0.48380000000000001</v>
      </c>
      <c r="G40" s="41"/>
    </row>
    <row r="41" spans="1:7" x14ac:dyDescent="0.15">
      <c r="A41" s="40" t="s">
        <v>744</v>
      </c>
      <c r="B41" s="41">
        <v>1012.9229999999999</v>
      </c>
      <c r="C41" s="41">
        <v>822.98120000000029</v>
      </c>
      <c r="D41" s="41">
        <v>367.98779999999999</v>
      </c>
      <c r="E41" s="41">
        <v>57405.587099999997</v>
      </c>
      <c r="F41" s="41">
        <v>44546.771699999998</v>
      </c>
      <c r="G41" s="41">
        <v>18766.2333</v>
      </c>
    </row>
    <row r="42" spans="1:7" x14ac:dyDescent="0.15">
      <c r="A42" s="40" t="s">
        <v>771</v>
      </c>
      <c r="B42" s="41">
        <v>336.51569999999992</v>
      </c>
      <c r="C42" s="41">
        <v>318.62270000000001</v>
      </c>
      <c r="D42" s="41">
        <v>125.76550000000002</v>
      </c>
      <c r="E42" s="41">
        <v>10226.7706</v>
      </c>
      <c r="F42" s="41">
        <v>9928.9133000000002</v>
      </c>
      <c r="G42" s="41">
        <v>3640.5187000000001</v>
      </c>
    </row>
    <row r="43" spans="1:7" x14ac:dyDescent="0.15">
      <c r="A43" s="40" t="s">
        <v>769</v>
      </c>
      <c r="B43" s="41">
        <v>23.7456</v>
      </c>
      <c r="C43" s="41">
        <v>29.356499999999997</v>
      </c>
      <c r="D43" s="41">
        <v>11.906700000000001</v>
      </c>
      <c r="E43" s="41">
        <v>713.0412</v>
      </c>
      <c r="F43" s="41">
        <v>960.05749999999989</v>
      </c>
      <c r="G43" s="41">
        <v>372.1223</v>
      </c>
    </row>
    <row r="44" spans="1:7" x14ac:dyDescent="0.15">
      <c r="A44" s="40" t="s">
        <v>745</v>
      </c>
      <c r="B44" s="41">
        <v>14.2293</v>
      </c>
      <c r="C44" s="41">
        <v>21.789000000000001</v>
      </c>
      <c r="D44" s="41">
        <v>7.9466000000000001</v>
      </c>
      <c r="E44" s="41">
        <v>761.61429999999996</v>
      </c>
      <c r="F44" s="41">
        <v>1129.7994000000001</v>
      </c>
      <c r="G44" s="41">
        <v>412.24349999999998</v>
      </c>
    </row>
    <row r="45" spans="1:7" x14ac:dyDescent="0.15">
      <c r="A45" s="40" t="s">
        <v>818</v>
      </c>
      <c r="B45" s="41">
        <v>1.8396999999999999</v>
      </c>
      <c r="C45" s="41">
        <v>4.3616000000000001</v>
      </c>
      <c r="D45" s="41"/>
      <c r="E45" s="41">
        <v>115.49760000000001</v>
      </c>
      <c r="F45" s="41">
        <v>300.46589999999998</v>
      </c>
      <c r="G45" s="41"/>
    </row>
    <row r="46" spans="1:7" x14ac:dyDescent="0.15">
      <c r="A46" s="40" t="s">
        <v>807</v>
      </c>
      <c r="B46" s="41">
        <v>5.2523</v>
      </c>
      <c r="C46" s="41"/>
      <c r="D46" s="41"/>
      <c r="E46" s="41">
        <v>269.2595</v>
      </c>
      <c r="F46" s="41"/>
      <c r="G46" s="41"/>
    </row>
    <row r="47" spans="1:7" x14ac:dyDescent="0.15">
      <c r="A47" s="40" t="s">
        <v>785</v>
      </c>
      <c r="B47" s="41"/>
      <c r="C47" s="41"/>
      <c r="D47" s="41">
        <v>2.0999999999999999E-3</v>
      </c>
      <c r="E47" s="41"/>
      <c r="F47" s="41"/>
      <c r="G47" s="41">
        <v>0.17710000000000001</v>
      </c>
    </row>
    <row r="48" spans="1:7" x14ac:dyDescent="0.15">
      <c r="A48" s="40" t="s">
        <v>753</v>
      </c>
      <c r="B48" s="41">
        <v>6.6299999999999998E-2</v>
      </c>
      <c r="C48" s="41">
        <v>0.12959999999999999</v>
      </c>
      <c r="D48" s="41">
        <v>7.1499999999999994E-2</v>
      </c>
      <c r="E48" s="41">
        <v>0.504</v>
      </c>
      <c r="F48" s="41">
        <v>0.91539999999999999</v>
      </c>
      <c r="G48" s="41">
        <v>0.52459999999999996</v>
      </c>
    </row>
    <row r="49" spans="1:7" x14ac:dyDescent="0.15">
      <c r="A49" s="40" t="s">
        <v>715</v>
      </c>
      <c r="B49" s="41">
        <v>511.78090000000003</v>
      </c>
      <c r="C49" s="41">
        <v>507.30459999999999</v>
      </c>
      <c r="D49" s="41">
        <v>295.71350000000001</v>
      </c>
      <c r="E49" s="41">
        <v>23199.702200000003</v>
      </c>
      <c r="F49" s="41">
        <v>21680.5389</v>
      </c>
      <c r="G49" s="41">
        <v>11434.483999999997</v>
      </c>
    </row>
    <row r="50" spans="1:7" x14ac:dyDescent="0.15">
      <c r="A50" s="40" t="s">
        <v>755</v>
      </c>
      <c r="B50" s="41"/>
      <c r="C50" s="41">
        <v>0.44869999999999999</v>
      </c>
      <c r="D50" s="41">
        <v>0.18529999999999999</v>
      </c>
      <c r="E50" s="41"/>
      <c r="F50" s="41">
        <v>7.1882999999999999</v>
      </c>
      <c r="G50" s="41">
        <v>2.9676</v>
      </c>
    </row>
    <row r="51" spans="1:7" x14ac:dyDescent="0.15">
      <c r="A51" s="40" t="s">
        <v>757</v>
      </c>
      <c r="B51" s="41"/>
      <c r="C51" s="41">
        <v>10.2052</v>
      </c>
      <c r="D51" s="41">
        <v>14.4321</v>
      </c>
      <c r="E51" s="41"/>
      <c r="F51" s="41">
        <v>569.2527</v>
      </c>
      <c r="G51" s="41">
        <v>716.4248</v>
      </c>
    </row>
    <row r="52" spans="1:7" x14ac:dyDescent="0.15">
      <c r="A52" s="40" t="s">
        <v>762</v>
      </c>
      <c r="B52" s="41">
        <v>168.57929999999996</v>
      </c>
      <c r="C52" s="41">
        <v>187.82539999999997</v>
      </c>
      <c r="D52" s="41">
        <v>100.92089999999999</v>
      </c>
      <c r="E52" s="41">
        <v>4051.7896999999994</v>
      </c>
      <c r="F52" s="41">
        <v>4420.8852000000006</v>
      </c>
      <c r="G52" s="41">
        <v>2421.1072999999997</v>
      </c>
    </row>
    <row r="53" spans="1:7" x14ac:dyDescent="0.15">
      <c r="A53" s="40" t="s">
        <v>765</v>
      </c>
      <c r="B53" s="41">
        <v>20.5806</v>
      </c>
      <c r="C53" s="41">
        <v>16.885899999999999</v>
      </c>
      <c r="D53" s="41">
        <v>8.2624999999999993</v>
      </c>
      <c r="E53" s="41">
        <v>116.04810000000001</v>
      </c>
      <c r="F53" s="41">
        <v>107.194</v>
      </c>
      <c r="G53" s="41">
        <v>44.347099999999998</v>
      </c>
    </row>
    <row r="54" spans="1:7" x14ac:dyDescent="0.15">
      <c r="A54" s="40" t="s">
        <v>766</v>
      </c>
      <c r="B54" s="41">
        <v>7.0000000000000001E-3</v>
      </c>
      <c r="C54" s="41"/>
      <c r="D54" s="41"/>
      <c r="E54" s="41">
        <v>0.08</v>
      </c>
      <c r="F54" s="41"/>
      <c r="G54" s="41"/>
    </row>
    <row r="55" spans="1:7" x14ac:dyDescent="0.15">
      <c r="A55" s="40" t="s">
        <v>767</v>
      </c>
      <c r="B55" s="41">
        <v>394.68370000000004</v>
      </c>
      <c r="C55" s="41">
        <v>409.49670000000009</v>
      </c>
      <c r="D55" s="41">
        <v>321.26349999999996</v>
      </c>
      <c r="E55" s="41">
        <v>18974.913400000005</v>
      </c>
      <c r="F55" s="41">
        <v>19732.122499999998</v>
      </c>
      <c r="G55" s="41">
        <v>15809.170200000002</v>
      </c>
    </row>
    <row r="56" spans="1:7" x14ac:dyDescent="0.15">
      <c r="A56" s="40" t="s">
        <v>768</v>
      </c>
      <c r="B56" s="41">
        <v>0.17230000000000001</v>
      </c>
      <c r="C56" s="41">
        <v>0.6331</v>
      </c>
      <c r="D56" s="41">
        <v>0.15670000000000001</v>
      </c>
      <c r="E56" s="41">
        <v>7.7868000000000004</v>
      </c>
      <c r="F56" s="41">
        <v>27.705500000000001</v>
      </c>
      <c r="G56" s="41">
        <v>6.8449999999999998</v>
      </c>
    </row>
    <row r="57" spans="1:7" x14ac:dyDescent="0.15">
      <c r="A57" s="40" t="s">
        <v>750</v>
      </c>
      <c r="B57" s="41">
        <v>332.01659999999998</v>
      </c>
      <c r="C57" s="41">
        <v>406.09359999999998</v>
      </c>
      <c r="D57" s="41">
        <v>185.50480000000002</v>
      </c>
      <c r="E57" s="41">
        <v>9811.9588999999996</v>
      </c>
      <c r="F57" s="41">
        <v>12002.1489</v>
      </c>
      <c r="G57" s="41">
        <v>5143.8026999999993</v>
      </c>
    </row>
    <row r="58" spans="1:7" x14ac:dyDescent="0.15">
      <c r="A58" s="40" t="s">
        <v>805</v>
      </c>
      <c r="B58" s="41">
        <v>466.31510000000003</v>
      </c>
      <c r="C58" s="41">
        <v>321.99379999999996</v>
      </c>
      <c r="D58" s="41">
        <v>119.93089999999999</v>
      </c>
      <c r="E58" s="41">
        <v>27928.056800000002</v>
      </c>
      <c r="F58" s="41">
        <v>19049.502499999999</v>
      </c>
      <c r="G58" s="41">
        <v>6464.4499000000005</v>
      </c>
    </row>
    <row r="59" spans="1:7" x14ac:dyDescent="0.15">
      <c r="A59" s="40" t="s">
        <v>773</v>
      </c>
      <c r="B59" s="41"/>
      <c r="C59" s="41">
        <v>6.2138</v>
      </c>
      <c r="D59" s="41">
        <v>8.77E-2</v>
      </c>
      <c r="E59" s="41"/>
      <c r="F59" s="41">
        <v>384.83499999999998</v>
      </c>
      <c r="G59" s="41">
        <v>5.7408999999999999</v>
      </c>
    </row>
    <row r="60" spans="1:7" x14ac:dyDescent="0.15">
      <c r="A60" s="40" t="s">
        <v>774</v>
      </c>
      <c r="B60" s="41">
        <v>62.723399999999998</v>
      </c>
      <c r="C60" s="41">
        <v>72.770799999999994</v>
      </c>
      <c r="D60" s="41">
        <v>17.9863</v>
      </c>
      <c r="E60" s="41">
        <v>4142.5167000000001</v>
      </c>
      <c r="F60" s="41">
        <v>3738.1193999999996</v>
      </c>
      <c r="G60" s="41">
        <v>966.62200000000007</v>
      </c>
    </row>
    <row r="61" spans="1:7" x14ac:dyDescent="0.15">
      <c r="A61" s="40" t="s">
        <v>775</v>
      </c>
      <c r="B61" s="41">
        <v>27.204999999999998</v>
      </c>
      <c r="C61" s="41">
        <v>84.962299999999999</v>
      </c>
      <c r="D61" s="41">
        <v>67.934899999999999</v>
      </c>
      <c r="E61" s="41">
        <v>1705.1169</v>
      </c>
      <c r="F61" s="41">
        <v>4625.1880000000001</v>
      </c>
      <c r="G61" s="41">
        <v>3467.3734000000004</v>
      </c>
    </row>
    <row r="62" spans="1:7" x14ac:dyDescent="0.15">
      <c r="A62" s="40" t="s">
        <v>751</v>
      </c>
      <c r="B62" s="41">
        <v>4.01</v>
      </c>
      <c r="C62" s="41">
        <v>6.6558000000000002</v>
      </c>
      <c r="D62" s="41"/>
      <c r="E62" s="41">
        <v>83.552000000000007</v>
      </c>
      <c r="F62" s="41">
        <v>115.5257</v>
      </c>
      <c r="G62" s="41"/>
    </row>
    <row r="63" spans="1:7" x14ac:dyDescent="0.15">
      <c r="A63" s="40" t="s">
        <v>776</v>
      </c>
      <c r="B63" s="41">
        <v>0.31309999999999999</v>
      </c>
      <c r="C63" s="41">
        <v>4.0300000000000002E-2</v>
      </c>
      <c r="D63" s="41"/>
      <c r="E63" s="41">
        <v>2.3519999999999999</v>
      </c>
      <c r="F63" s="41">
        <v>0.30399999999999999</v>
      </c>
      <c r="G63" s="41"/>
    </row>
    <row r="64" spans="1:7" x14ac:dyDescent="0.15">
      <c r="A64" s="40" t="s">
        <v>712</v>
      </c>
      <c r="B64" s="41">
        <v>1.9350000000000001</v>
      </c>
      <c r="C64" s="41">
        <v>0.624</v>
      </c>
      <c r="D64" s="41"/>
      <c r="E64" s="41">
        <v>24.822900000000001</v>
      </c>
      <c r="F64" s="41">
        <v>9.4085999999999999</v>
      </c>
      <c r="G64" s="41"/>
    </row>
    <row r="65" spans="1:7" x14ac:dyDescent="0.15">
      <c r="A65" s="40" t="s">
        <v>778</v>
      </c>
      <c r="B65" s="41">
        <v>8.7314000000000007</v>
      </c>
      <c r="C65" s="41">
        <v>3.2121000000000004</v>
      </c>
      <c r="D65" s="41"/>
      <c r="E65" s="41">
        <v>524.32740000000001</v>
      </c>
      <c r="F65" s="41">
        <v>172.9469</v>
      </c>
      <c r="G65" s="41"/>
    </row>
    <row r="66" spans="1:7" x14ac:dyDescent="0.15">
      <c r="A66" s="40" t="s">
        <v>779</v>
      </c>
      <c r="B66" s="41">
        <v>0.15809999999999999</v>
      </c>
      <c r="C66" s="41">
        <v>2E-3</v>
      </c>
      <c r="D66" s="41">
        <v>1E-3</v>
      </c>
      <c r="E66" s="41">
        <v>2.1</v>
      </c>
      <c r="F66" s="41">
        <v>0.02</v>
      </c>
      <c r="G66" s="41">
        <v>0.02</v>
      </c>
    </row>
    <row r="67" spans="1:7" x14ac:dyDescent="0.15">
      <c r="A67" s="40" t="s">
        <v>763</v>
      </c>
      <c r="B67" s="41">
        <v>6.1032999999999999</v>
      </c>
      <c r="C67" s="41">
        <v>8.2299999999999998E-2</v>
      </c>
      <c r="D67" s="41"/>
      <c r="E67" s="41">
        <v>422.25490000000002</v>
      </c>
      <c r="F67" s="41">
        <v>3.4649000000000001</v>
      </c>
      <c r="G67" s="41"/>
    </row>
    <row r="68" spans="1:7" x14ac:dyDescent="0.15">
      <c r="A68" s="40" t="s">
        <v>780</v>
      </c>
      <c r="B68" s="41">
        <v>6.0000000000000001E-3</v>
      </c>
      <c r="C68" s="41">
        <v>0.35439999999999999</v>
      </c>
      <c r="D68" s="41"/>
      <c r="E68" s="41">
        <v>0.33839999999999998</v>
      </c>
      <c r="F68" s="41">
        <v>16.541699999999999</v>
      </c>
      <c r="G68" s="41"/>
    </row>
    <row r="69" spans="1:7" x14ac:dyDescent="0.15">
      <c r="A69" s="40" t="s">
        <v>783</v>
      </c>
      <c r="B69" s="41"/>
      <c r="C69" s="41">
        <v>0.79349999999999998</v>
      </c>
      <c r="D69" s="41">
        <v>0.7298</v>
      </c>
      <c r="E69" s="41"/>
      <c r="F69" s="41">
        <v>47.268799999999999</v>
      </c>
      <c r="G69" s="41">
        <v>43.602699999999999</v>
      </c>
    </row>
    <row r="70" spans="1:7" x14ac:dyDescent="0.15">
      <c r="A70" s="40" t="s">
        <v>786</v>
      </c>
      <c r="B70" s="41">
        <v>2.1507000000000001</v>
      </c>
      <c r="C70" s="41">
        <v>0.15629999999999999</v>
      </c>
      <c r="D70" s="41">
        <v>5.8099999999999999E-2</v>
      </c>
      <c r="E70" s="41">
        <v>55.849800000000002</v>
      </c>
      <c r="F70" s="41">
        <v>3.1030000000000002</v>
      </c>
      <c r="G70" s="41">
        <v>1.1613</v>
      </c>
    </row>
    <row r="71" spans="1:7" x14ac:dyDescent="0.15">
      <c r="A71" s="40" t="s">
        <v>789</v>
      </c>
      <c r="B71" s="41"/>
      <c r="C71" s="41"/>
      <c r="D71" s="41">
        <v>0.624</v>
      </c>
      <c r="E71" s="41"/>
      <c r="F71" s="41"/>
      <c r="G71" s="41">
        <v>34.035699999999999</v>
      </c>
    </row>
    <row r="72" spans="1:7" x14ac:dyDescent="0.15">
      <c r="A72" s="40" t="s">
        <v>770</v>
      </c>
      <c r="B72" s="41">
        <v>0.13550000000000001</v>
      </c>
      <c r="C72" s="41"/>
      <c r="D72" s="41"/>
      <c r="E72" s="41">
        <v>3.2519</v>
      </c>
      <c r="F72" s="41"/>
      <c r="G72" s="41"/>
    </row>
    <row r="73" spans="1:7" x14ac:dyDescent="0.15">
      <c r="A73" s="40" t="s">
        <v>791</v>
      </c>
      <c r="B73" s="41">
        <v>1818.5406000000007</v>
      </c>
      <c r="C73" s="41">
        <v>2101.7048</v>
      </c>
      <c r="D73" s="41">
        <v>1233.5608</v>
      </c>
      <c r="E73" s="41">
        <v>45983.128800000006</v>
      </c>
      <c r="F73" s="41">
        <v>53803.277899999994</v>
      </c>
      <c r="G73" s="41">
        <v>29897.358499999995</v>
      </c>
    </row>
    <row r="74" spans="1:7" x14ac:dyDescent="0.15">
      <c r="A74" s="40" t="s">
        <v>790</v>
      </c>
      <c r="B74" s="41">
        <v>192.72300000000001</v>
      </c>
      <c r="C74" s="41">
        <v>183.24340000000001</v>
      </c>
      <c r="D74" s="41">
        <v>97.209599999999995</v>
      </c>
      <c r="E74" s="41">
        <v>7900.9691000000003</v>
      </c>
      <c r="F74" s="41">
        <v>6838.8454000000002</v>
      </c>
      <c r="G74" s="41">
        <v>3264.5805999999998</v>
      </c>
    </row>
    <row r="75" spans="1:7" x14ac:dyDescent="0.15">
      <c r="A75" s="40" t="s">
        <v>792</v>
      </c>
      <c r="B75" s="41">
        <v>12.300700000000001</v>
      </c>
      <c r="C75" s="41">
        <v>12.5441</v>
      </c>
      <c r="D75" s="41">
        <v>8.6649999999999991</v>
      </c>
      <c r="E75" s="41">
        <v>127.5915</v>
      </c>
      <c r="F75" s="41">
        <v>142.67039999999997</v>
      </c>
      <c r="G75" s="41">
        <v>110.3914</v>
      </c>
    </row>
    <row r="76" spans="1:7" x14ac:dyDescent="0.15">
      <c r="A76" s="40" t="s">
        <v>726</v>
      </c>
      <c r="B76" s="41">
        <v>0.22359999999999999</v>
      </c>
      <c r="C76" s="41">
        <v>1.0136000000000001</v>
      </c>
      <c r="D76" s="41">
        <v>1.0571999999999999</v>
      </c>
      <c r="E76" s="41">
        <v>12.2155</v>
      </c>
      <c r="F76" s="41">
        <v>49.151600000000002</v>
      </c>
      <c r="G76" s="41">
        <v>44.717399999999998</v>
      </c>
    </row>
    <row r="77" spans="1:7" x14ac:dyDescent="0.15">
      <c r="A77" s="40" t="s">
        <v>788</v>
      </c>
      <c r="B77" s="41">
        <v>26.606400000000001</v>
      </c>
      <c r="C77" s="41">
        <v>12.7163</v>
      </c>
      <c r="D77" s="41">
        <v>6.1868999999999996</v>
      </c>
      <c r="E77" s="41">
        <v>773.97839999999997</v>
      </c>
      <c r="F77" s="41">
        <v>348.97550000000001</v>
      </c>
      <c r="G77" s="41">
        <v>165.1816</v>
      </c>
    </row>
    <row r="78" spans="1:7" x14ac:dyDescent="0.15">
      <c r="A78" s="40" t="s">
        <v>806</v>
      </c>
      <c r="B78" s="41">
        <v>0.14579999999999999</v>
      </c>
      <c r="C78" s="41">
        <v>0.29949999999999999</v>
      </c>
      <c r="D78" s="41">
        <v>5.04E-2</v>
      </c>
      <c r="E78" s="41">
        <v>2.8886000000000003</v>
      </c>
      <c r="F78" s="41">
        <v>6.5742999999999991</v>
      </c>
      <c r="G78" s="41">
        <v>1.1331</v>
      </c>
    </row>
    <row r="79" spans="1:7" x14ac:dyDescent="0.15">
      <c r="A79" s="40" t="s">
        <v>809</v>
      </c>
      <c r="B79" s="41"/>
      <c r="C79" s="41"/>
      <c r="D79" s="41">
        <v>3.1633</v>
      </c>
      <c r="E79" s="41"/>
      <c r="F79" s="41"/>
      <c r="G79" s="41">
        <v>171.71680000000001</v>
      </c>
    </row>
    <row r="80" spans="1:7" x14ac:dyDescent="0.15">
      <c r="A80" s="40" t="s">
        <v>794</v>
      </c>
      <c r="B80" s="41">
        <v>78.612899999999996</v>
      </c>
      <c r="C80" s="41">
        <v>83.733099999999993</v>
      </c>
      <c r="D80" s="41">
        <v>33.060899999999997</v>
      </c>
      <c r="E80" s="41">
        <v>5148.8364000000001</v>
      </c>
      <c r="F80" s="41">
        <v>5284.2040999999999</v>
      </c>
      <c r="G80" s="41">
        <v>2040.6587000000002</v>
      </c>
    </row>
    <row r="81" spans="1:7" x14ac:dyDescent="0.15">
      <c r="A81" s="40" t="s">
        <v>748</v>
      </c>
      <c r="B81" s="41">
        <v>77.652300000000011</v>
      </c>
      <c r="C81" s="41">
        <v>36.366199999999999</v>
      </c>
      <c r="D81" s="41">
        <v>17.4221</v>
      </c>
      <c r="E81" s="41">
        <v>3136.2814000000003</v>
      </c>
      <c r="F81" s="41">
        <v>1512.1393</v>
      </c>
      <c r="G81" s="41">
        <v>684.81539999999995</v>
      </c>
    </row>
    <row r="82" spans="1:7" x14ac:dyDescent="0.15">
      <c r="A82" s="40" t="s">
        <v>796</v>
      </c>
      <c r="B82" s="41">
        <v>2.9096000000000002</v>
      </c>
      <c r="C82" s="41">
        <v>6.0198</v>
      </c>
      <c r="D82" s="41">
        <v>5.5109000000000004</v>
      </c>
      <c r="E82" s="41">
        <v>55.366500000000002</v>
      </c>
      <c r="F82" s="41">
        <v>108.4705</v>
      </c>
      <c r="G82" s="41">
        <v>98.710099999999997</v>
      </c>
    </row>
    <row r="83" spans="1:7" x14ac:dyDescent="0.15">
      <c r="A83" s="40" t="s">
        <v>797</v>
      </c>
      <c r="B83" s="41"/>
      <c r="C83" s="41"/>
      <c r="D83" s="41">
        <v>9.1999999999999998E-3</v>
      </c>
      <c r="E83" s="41"/>
      <c r="F83" s="41"/>
      <c r="G83" s="41">
        <v>0.30320000000000003</v>
      </c>
    </row>
    <row r="84" spans="1:7" x14ac:dyDescent="0.15">
      <c r="A84" s="40" t="s">
        <v>740</v>
      </c>
      <c r="B84" s="41">
        <v>0.24010000000000001</v>
      </c>
      <c r="C84" s="41"/>
      <c r="D84" s="41"/>
      <c r="E84" s="41">
        <v>10.8056</v>
      </c>
      <c r="F84" s="41"/>
      <c r="G84" s="41"/>
    </row>
    <row r="85" spans="1:7" x14ac:dyDescent="0.15">
      <c r="A85" s="40" t="s">
        <v>801</v>
      </c>
      <c r="B85" s="41">
        <v>0.97350000000000003</v>
      </c>
      <c r="C85" s="41">
        <v>1.3668</v>
      </c>
      <c r="D85" s="41">
        <v>0.25619999999999998</v>
      </c>
      <c r="E85" s="41">
        <v>4.9279999999999999</v>
      </c>
      <c r="F85" s="41">
        <v>7.3565000000000005</v>
      </c>
      <c r="G85" s="41">
        <v>1.4279999999999999</v>
      </c>
    </row>
    <row r="86" spans="1:7" x14ac:dyDescent="0.15">
      <c r="A86" s="40" t="s">
        <v>803</v>
      </c>
      <c r="B86" s="41">
        <v>632.96199999999999</v>
      </c>
      <c r="C86" s="41">
        <v>529.41079999999999</v>
      </c>
      <c r="D86" s="41">
        <v>262.13729999999998</v>
      </c>
      <c r="E86" s="41">
        <v>36136.764000000003</v>
      </c>
      <c r="F86" s="41">
        <v>28913.011900000001</v>
      </c>
      <c r="G86" s="41">
        <v>13646.294400000001</v>
      </c>
    </row>
    <row r="87" spans="1:7" x14ac:dyDescent="0.15">
      <c r="A87" s="40" t="s">
        <v>804</v>
      </c>
      <c r="B87" s="41">
        <v>154.93450000000001</v>
      </c>
      <c r="C87" s="41">
        <v>154.98239999999998</v>
      </c>
      <c r="D87" s="41">
        <v>45.514200000000002</v>
      </c>
      <c r="E87" s="41">
        <v>4738.4237000000003</v>
      </c>
      <c r="F87" s="41">
        <v>5792.3320999999996</v>
      </c>
      <c r="G87" s="41">
        <v>1599.6686</v>
      </c>
    </row>
    <row r="88" spans="1:7" x14ac:dyDescent="0.15">
      <c r="A88" s="40" t="s">
        <v>800</v>
      </c>
      <c r="B88" s="41">
        <v>26.3474</v>
      </c>
      <c r="C88" s="41">
        <v>72.591800000000006</v>
      </c>
      <c r="D88" s="41">
        <v>62.007400000000004</v>
      </c>
      <c r="E88" s="41">
        <v>920.46799999999996</v>
      </c>
      <c r="F88" s="41">
        <v>3084.2015000000001</v>
      </c>
      <c r="G88" s="41">
        <v>2719.9431</v>
      </c>
    </row>
    <row r="89" spans="1:7" x14ac:dyDescent="0.15">
      <c r="A89" s="40" t="s">
        <v>802</v>
      </c>
      <c r="B89" s="41">
        <v>18.511199999999999</v>
      </c>
      <c r="C89" s="41">
        <v>14.1861</v>
      </c>
      <c r="D89" s="41">
        <v>5.5843999999999996</v>
      </c>
      <c r="E89" s="41">
        <v>978.49419999999998</v>
      </c>
      <c r="F89" s="41">
        <v>734.42629999999997</v>
      </c>
      <c r="G89" s="41">
        <v>305.17070000000001</v>
      </c>
    </row>
    <row r="90" spans="1:7" x14ac:dyDescent="0.15">
      <c r="A90" s="40" t="s">
        <v>761</v>
      </c>
      <c r="B90" s="41">
        <v>41.451899999999995</v>
      </c>
      <c r="C90" s="41">
        <v>23.849699999999999</v>
      </c>
      <c r="D90" s="41">
        <v>14.791499999999999</v>
      </c>
      <c r="E90" s="41">
        <v>1547.7049999999999</v>
      </c>
      <c r="F90" s="41">
        <v>1096.4468000000002</v>
      </c>
      <c r="G90" s="41">
        <v>817.30310000000009</v>
      </c>
    </row>
    <row r="91" spans="1:7" x14ac:dyDescent="0.15">
      <c r="A91" s="40" t="s">
        <v>746</v>
      </c>
      <c r="B91" s="41">
        <v>7.4866999999999999</v>
      </c>
      <c r="C91" s="41">
        <v>1.5100000000000001E-2</v>
      </c>
      <c r="D91" s="41"/>
      <c r="E91" s="41">
        <v>509.18150000000003</v>
      </c>
      <c r="F91" s="41">
        <v>0.77590000000000003</v>
      </c>
      <c r="G91" s="41"/>
    </row>
    <row r="92" spans="1:7" x14ac:dyDescent="0.15">
      <c r="A92" s="40" t="s">
        <v>752</v>
      </c>
      <c r="B92" s="41">
        <v>113.4866</v>
      </c>
      <c r="C92" s="41">
        <v>49.046300000000002</v>
      </c>
      <c r="D92" s="41">
        <v>12.3329</v>
      </c>
      <c r="E92" s="41">
        <v>2663.5763000000002</v>
      </c>
      <c r="F92" s="41">
        <v>1050.6374999999998</v>
      </c>
      <c r="G92" s="41">
        <v>244.387</v>
      </c>
    </row>
    <row r="93" spans="1:7" x14ac:dyDescent="0.15">
      <c r="A93" s="40" t="s">
        <v>811</v>
      </c>
      <c r="B93" s="41">
        <v>34.924300000000002</v>
      </c>
      <c r="C93" s="41">
        <v>13.6989</v>
      </c>
      <c r="D93" s="41">
        <v>2.1793999999999998</v>
      </c>
      <c r="E93" s="41">
        <v>2361.752</v>
      </c>
      <c r="F93" s="41">
        <v>920.36569999999995</v>
      </c>
      <c r="G93" s="41">
        <v>151.65029999999999</v>
      </c>
    </row>
    <row r="94" spans="1:7" x14ac:dyDescent="0.15">
      <c r="A94" s="40" t="s">
        <v>812</v>
      </c>
      <c r="B94" s="41"/>
      <c r="C94" s="41"/>
      <c r="D94" s="41">
        <v>1.9407000000000001</v>
      </c>
      <c r="E94" s="41"/>
      <c r="F94" s="41"/>
      <c r="G94" s="41">
        <v>110.1146</v>
      </c>
    </row>
    <row r="95" spans="1:7" x14ac:dyDescent="0.15">
      <c r="A95" s="40" t="s">
        <v>756</v>
      </c>
      <c r="B95" s="41">
        <v>34.405900000000003</v>
      </c>
      <c r="C95" s="41">
        <v>2.0082999999999998</v>
      </c>
      <c r="D95" s="41">
        <v>5.9499999999999997E-2</v>
      </c>
      <c r="E95" s="41">
        <v>1027.0906</v>
      </c>
      <c r="F95" s="41">
        <v>44.666600000000003</v>
      </c>
      <c r="G95" s="41">
        <v>0.51659999999999995</v>
      </c>
    </row>
    <row r="96" spans="1:7" x14ac:dyDescent="0.15">
      <c r="A96" s="40" t="s">
        <v>730</v>
      </c>
      <c r="B96" s="41"/>
      <c r="C96" s="41">
        <v>3.7900000000000003E-2</v>
      </c>
      <c r="D96" s="41">
        <v>6.93E-2</v>
      </c>
      <c r="E96" s="41"/>
      <c r="F96" s="41">
        <v>2.3294000000000001</v>
      </c>
      <c r="G96" s="41">
        <v>4.2670000000000003</v>
      </c>
    </row>
    <row r="97" spans="1:7" x14ac:dyDescent="0.15">
      <c r="A97" s="40" t="s">
        <v>814</v>
      </c>
      <c r="B97" s="41"/>
      <c r="C97" s="41">
        <v>5.9899999999999995E-2</v>
      </c>
      <c r="D97" s="41">
        <v>22.319899999999997</v>
      </c>
      <c r="E97" s="41"/>
      <c r="F97" s="41">
        <v>3.96</v>
      </c>
      <c r="G97" s="41">
        <v>1362.7346</v>
      </c>
    </row>
    <row r="98" spans="1:7" x14ac:dyDescent="0.15">
      <c r="A98" s="40" t="s">
        <v>816</v>
      </c>
      <c r="B98" s="41">
        <v>25.839099999999998</v>
      </c>
      <c r="C98" s="41">
        <v>9.0121000000000002</v>
      </c>
      <c r="D98" s="41">
        <v>10.0204</v>
      </c>
      <c r="E98" s="41">
        <v>1539.4739</v>
      </c>
      <c r="F98" s="41">
        <v>509.45670000000001</v>
      </c>
      <c r="G98" s="41">
        <v>585.52229999999997</v>
      </c>
    </row>
    <row r="99" spans="1:7" x14ac:dyDescent="0.15">
      <c r="A99" s="40" t="s">
        <v>817</v>
      </c>
      <c r="B99" s="41">
        <v>19.4956</v>
      </c>
      <c r="C99" s="41">
        <v>39.761499999999998</v>
      </c>
      <c r="D99" s="41">
        <v>26.269500000000001</v>
      </c>
      <c r="E99" s="41">
        <v>286.04970000000003</v>
      </c>
      <c r="F99" s="41">
        <v>652.10879999999997</v>
      </c>
      <c r="G99" s="41">
        <v>499.83789999999999</v>
      </c>
    </row>
    <row r="100" spans="1:7" x14ac:dyDescent="0.15">
      <c r="A100" s="40" t="s">
        <v>714</v>
      </c>
      <c r="B100" s="41">
        <v>3341.5013000000004</v>
      </c>
      <c r="C100" s="41">
        <v>3428.0433000000003</v>
      </c>
      <c r="D100" s="41">
        <v>1852.1966</v>
      </c>
      <c r="E100" s="41">
        <v>125970.2506</v>
      </c>
      <c r="F100" s="41">
        <v>127615.61489999999</v>
      </c>
      <c r="G100" s="41">
        <v>64977.618299999995</v>
      </c>
    </row>
    <row r="101" spans="1:7" x14ac:dyDescent="0.15">
      <c r="A101" s="40" t="s">
        <v>777</v>
      </c>
      <c r="B101" s="41">
        <v>131.4905</v>
      </c>
      <c r="C101" s="41">
        <v>246.0711</v>
      </c>
      <c r="D101" s="41">
        <v>78.18180000000001</v>
      </c>
      <c r="E101" s="41">
        <v>7528.2013999999999</v>
      </c>
      <c r="F101" s="41">
        <v>14073.580099999999</v>
      </c>
      <c r="G101" s="41">
        <v>4344.6673999999994</v>
      </c>
    </row>
    <row r="102" spans="1:7" x14ac:dyDescent="0.15">
      <c r="A102" s="40" t="s">
        <v>1023</v>
      </c>
      <c r="B102" s="41">
        <v>11880.1589</v>
      </c>
      <c r="C102" s="41">
        <v>12264.847400000004</v>
      </c>
      <c r="D102" s="41">
        <v>6590.0513000000037</v>
      </c>
      <c r="E102" s="41">
        <v>470247.92700000014</v>
      </c>
      <c r="F102" s="41">
        <v>475047.06149999989</v>
      </c>
      <c r="G102" s="41">
        <v>239949.39960000003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8B95-D051-B34A-B567-862DC921408B}">
  <dimension ref="B1:O103"/>
  <sheetViews>
    <sheetView tabSelected="1" zoomScale="150" workbookViewId="0">
      <selection activeCell="C1" sqref="C1"/>
    </sheetView>
  </sheetViews>
  <sheetFormatPr baseColWidth="10" defaultRowHeight="12" x14ac:dyDescent="0.15"/>
  <cols>
    <col min="1" max="1" width="2.1640625" style="37" customWidth="1"/>
    <col min="2" max="2" width="28.1640625" style="37" bestFit="1" customWidth="1"/>
    <col min="3" max="3" width="10.33203125" style="42" bestFit="1" customWidth="1"/>
    <col min="4" max="4" width="11.83203125" style="42" bestFit="1" customWidth="1"/>
    <col min="5" max="5" width="12.6640625" style="43" bestFit="1" customWidth="1"/>
    <col min="6" max="6" width="10.33203125" style="42" bestFit="1" customWidth="1"/>
    <col min="7" max="7" width="11.83203125" style="42" bestFit="1" customWidth="1"/>
    <col min="8" max="8" width="12.6640625" style="42" bestFit="1" customWidth="1"/>
    <col min="9" max="9" width="12.1640625" style="42" bestFit="1" customWidth="1"/>
    <col min="10" max="10" width="13.6640625" style="42" bestFit="1" customWidth="1"/>
    <col min="11" max="11" width="11.1640625" style="42" bestFit="1" customWidth="1"/>
    <col min="12" max="12" width="2.1640625" style="37" customWidth="1"/>
    <col min="13" max="14" width="7.1640625" style="37" bestFit="1" customWidth="1"/>
    <col min="15" max="15" width="11.5" style="37" bestFit="1" customWidth="1"/>
    <col min="16" max="16384" width="10.83203125" style="37"/>
  </cols>
  <sheetData>
    <row r="1" spans="2:15" ht="16" x14ac:dyDescent="0.2">
      <c r="B1" s="56" t="s">
        <v>1036</v>
      </c>
    </row>
    <row r="3" spans="2:15" ht="13" x14ac:dyDescent="0.15">
      <c r="M3" s="45" t="s">
        <v>1035</v>
      </c>
      <c r="N3" s="45"/>
      <c r="O3" s="45"/>
    </row>
    <row r="4" spans="2:15" ht="13" x14ac:dyDescent="0.15">
      <c r="B4" s="49" t="s">
        <v>1030</v>
      </c>
      <c r="C4" s="46" t="s">
        <v>871</v>
      </c>
      <c r="D4" s="46" t="s">
        <v>874</v>
      </c>
      <c r="E4" s="47" t="s">
        <v>1031</v>
      </c>
      <c r="F4" s="46" t="s">
        <v>872</v>
      </c>
      <c r="G4" s="46" t="s">
        <v>875</v>
      </c>
      <c r="H4" s="46" t="s">
        <v>1031</v>
      </c>
      <c r="I4" s="46" t="s">
        <v>873</v>
      </c>
      <c r="J4" s="46" t="s">
        <v>876</v>
      </c>
      <c r="K4" s="46" t="s">
        <v>1031</v>
      </c>
      <c r="L4" s="36"/>
      <c r="M4" s="48" t="s">
        <v>1032</v>
      </c>
      <c r="N4" s="48" t="s">
        <v>1033</v>
      </c>
      <c r="O4" s="48" t="s">
        <v>1031</v>
      </c>
    </row>
    <row r="5" spans="2:15" x14ac:dyDescent="0.15">
      <c r="B5" s="37" t="s">
        <v>712</v>
      </c>
      <c r="C5" s="42">
        <f>IFERROR(GETPIVOTDATA("Sum of "&amp;C$4,Pivot!$A$3,"Manufacturer",$B5),0)</f>
        <v>1.9350000000000001</v>
      </c>
      <c r="D5" s="42">
        <f>IFERROR(GETPIVOTDATA("Sum of "&amp;D$4,Pivot!$A$3,"Manufacturer",$B5),0)</f>
        <v>24.822900000000001</v>
      </c>
      <c r="E5" s="55">
        <f>IFERROR(C5/D5*1000,"n.a.")</f>
        <v>77.952213480294404</v>
      </c>
      <c r="F5" s="42">
        <f>IFERROR(GETPIVOTDATA("Sum of "&amp;F$4,Pivot!$A$3,"Manufacturer",$B5),0)</f>
        <v>0.624</v>
      </c>
      <c r="G5" s="42">
        <f>IFERROR(GETPIVOTDATA("Sum of "&amp;G$4,Pivot!$A$3,"Manufacturer",$B5),0)</f>
        <v>9.4085999999999999</v>
      </c>
      <c r="H5" s="55">
        <f>IFERROR(F5/G5*1000,"n.a.")</f>
        <v>66.32230087366878</v>
      </c>
      <c r="I5" s="42">
        <f>IFERROR(GETPIVOTDATA("Sum of "&amp;I$4,Pivot!$A$3,"Manufacturer",$B5),0)</f>
        <v>0</v>
      </c>
      <c r="J5" s="42">
        <f>IFERROR(GETPIVOTDATA("Sum of "&amp;J$4,Pivot!$A$3,"Manufacturer",$B5),0)</f>
        <v>0</v>
      </c>
      <c r="K5" s="55" t="str">
        <f>IFERROR(I5/J5*1000,"n.a.")</f>
        <v>n.a.</v>
      </c>
      <c r="M5" s="44">
        <f>IFERROR(F5/C5-1,"n.a.")</f>
        <v>-0.67751937984496124</v>
      </c>
      <c r="N5" s="44">
        <f>IFERROR(G5/D5-1,"n.a.")</f>
        <v>-0.62097095826837312</v>
      </c>
      <c r="O5" s="44">
        <f>IFERROR(H5/E5-1,"n.a.")</f>
        <v>-0.14919284632713548</v>
      </c>
    </row>
    <row r="6" spans="2:15" x14ac:dyDescent="0.15">
      <c r="B6" s="37" t="s">
        <v>713</v>
      </c>
      <c r="C6" s="42">
        <f>IFERROR(GETPIVOTDATA("Sum of "&amp;C$4,Pivot!$A$3,"Manufacturer",$B6),0)</f>
        <v>1.09E-2</v>
      </c>
      <c r="D6" s="42">
        <f>IFERROR(GETPIVOTDATA("Sum of "&amp;D$4,Pivot!$A$3,"Manufacturer",$B6),0)</f>
        <v>0.16</v>
      </c>
      <c r="E6" s="55">
        <f t="shared" ref="E6:E69" si="0">IFERROR(C6/D6*1000,"n.a.")</f>
        <v>68.125</v>
      </c>
      <c r="F6" s="42">
        <f>IFERROR(GETPIVOTDATA("Sum of "&amp;F$4,Pivot!$A$3,"Manufacturer",$B6),0)</f>
        <v>0</v>
      </c>
      <c r="G6" s="42">
        <f>IFERROR(GETPIVOTDATA("Sum of "&amp;G$4,Pivot!$A$3,"Manufacturer",$B6),0)</f>
        <v>0</v>
      </c>
      <c r="H6" s="55" t="str">
        <f t="shared" ref="H6:H69" si="1">IFERROR(F6/G6*1000,"n.a.")</f>
        <v>n.a.</v>
      </c>
      <c r="I6" s="42">
        <f>IFERROR(GETPIVOTDATA("Sum of "&amp;I$4,Pivot!$A$3,"Manufacturer",$B6),0)</f>
        <v>0</v>
      </c>
      <c r="J6" s="42">
        <f>IFERROR(GETPIVOTDATA("Sum of "&amp;J$4,Pivot!$A$3,"Manufacturer",$B6),0)</f>
        <v>0</v>
      </c>
      <c r="K6" s="55" t="str">
        <f t="shared" ref="K6:K69" si="2">IFERROR(I6/J6*1000,"n.a.")</f>
        <v>n.a.</v>
      </c>
      <c r="M6" s="44">
        <f t="shared" ref="M6:M69" si="3">IFERROR(F6/C6-1,"n.a.")</f>
        <v>-1</v>
      </c>
      <c r="N6" s="44">
        <f t="shared" ref="N6:N69" si="4">IFERROR(G6/D6-1,"n.a.")</f>
        <v>-1</v>
      </c>
      <c r="O6" s="44" t="str">
        <f t="shared" ref="O6:O69" si="5">IFERROR(H6/E6-1,"n.a.")</f>
        <v>n.a.</v>
      </c>
    </row>
    <row r="7" spans="2:15" x14ac:dyDescent="0.15">
      <c r="B7" s="37" t="s">
        <v>714</v>
      </c>
      <c r="C7" s="42">
        <f>IFERROR(GETPIVOTDATA("Sum of "&amp;C$4,Pivot!$A$3,"Manufacturer",$B7),0)</f>
        <v>3341.5013000000004</v>
      </c>
      <c r="D7" s="42">
        <f>IFERROR(GETPIVOTDATA("Sum of "&amp;D$4,Pivot!$A$3,"Manufacturer",$B7),0)</f>
        <v>125970.2506</v>
      </c>
      <c r="E7" s="55">
        <f t="shared" si="0"/>
        <v>26.526114571371664</v>
      </c>
      <c r="F7" s="42">
        <f>IFERROR(GETPIVOTDATA("Sum of "&amp;F$4,Pivot!$A$3,"Manufacturer",$B7),0)</f>
        <v>3428.0433000000003</v>
      </c>
      <c r="G7" s="42">
        <f>IFERROR(GETPIVOTDATA("Sum of "&amp;G$4,Pivot!$A$3,"Manufacturer",$B7),0)</f>
        <v>127615.61489999999</v>
      </c>
      <c r="H7" s="55">
        <f t="shared" si="1"/>
        <v>26.862255866464508</v>
      </c>
      <c r="I7" s="42">
        <f>IFERROR(GETPIVOTDATA("Sum of "&amp;I$4,Pivot!$A$3,"Manufacturer",$B7),0)</f>
        <v>1852.1966</v>
      </c>
      <c r="J7" s="42">
        <f>IFERROR(GETPIVOTDATA("Sum of "&amp;J$4,Pivot!$A$3,"Manufacturer",$B7),0)</f>
        <v>64977.618299999995</v>
      </c>
      <c r="K7" s="55">
        <f t="shared" si="2"/>
        <v>28.50514759479881</v>
      </c>
      <c r="M7" s="44">
        <f t="shared" si="3"/>
        <v>2.5899137013652984E-2</v>
      </c>
      <c r="N7" s="44">
        <f t="shared" si="4"/>
        <v>1.3061530735733795E-2</v>
      </c>
      <c r="O7" s="44">
        <f t="shared" si="5"/>
        <v>1.2672089392828934E-2</v>
      </c>
    </row>
    <row r="8" spans="2:15" x14ac:dyDescent="0.15">
      <c r="B8" s="37" t="s">
        <v>715</v>
      </c>
      <c r="C8" s="42">
        <f>IFERROR(GETPIVOTDATA("Sum of "&amp;C$4,Pivot!$A$3,"Manufacturer",$B8),0)</f>
        <v>511.78090000000003</v>
      </c>
      <c r="D8" s="42">
        <f>IFERROR(GETPIVOTDATA("Sum of "&amp;D$4,Pivot!$A$3,"Manufacturer",$B8),0)</f>
        <v>23199.702200000003</v>
      </c>
      <c r="E8" s="55">
        <f t="shared" si="0"/>
        <v>22.059804715941567</v>
      </c>
      <c r="F8" s="42">
        <f>IFERROR(GETPIVOTDATA("Sum of "&amp;F$4,Pivot!$A$3,"Manufacturer",$B8),0)</f>
        <v>507.30459999999999</v>
      </c>
      <c r="G8" s="42">
        <f>IFERROR(GETPIVOTDATA("Sum of "&amp;G$4,Pivot!$A$3,"Manufacturer",$B8),0)</f>
        <v>21680.5389</v>
      </c>
      <c r="H8" s="55">
        <f t="shared" si="1"/>
        <v>23.399077040469692</v>
      </c>
      <c r="I8" s="42">
        <f>IFERROR(GETPIVOTDATA("Sum of "&amp;I$4,Pivot!$A$3,"Manufacturer",$B8),0)</f>
        <v>295.71350000000001</v>
      </c>
      <c r="J8" s="42">
        <f>IFERROR(GETPIVOTDATA("Sum of "&amp;J$4,Pivot!$A$3,"Manufacturer",$B8),0)</f>
        <v>11434.483999999997</v>
      </c>
      <c r="K8" s="55">
        <f t="shared" si="2"/>
        <v>25.861551776188595</v>
      </c>
      <c r="M8" s="44">
        <f t="shared" si="3"/>
        <v>-8.7465163315004757E-3</v>
      </c>
      <c r="N8" s="44">
        <f t="shared" si="4"/>
        <v>-6.5482017264859693E-2</v>
      </c>
      <c r="O8" s="44">
        <f t="shared" si="5"/>
        <v>6.0710978259943316E-2</v>
      </c>
    </row>
    <row r="9" spans="2:15" x14ac:dyDescent="0.15">
      <c r="B9" s="37" t="s">
        <v>716</v>
      </c>
      <c r="C9" s="42">
        <f>IFERROR(GETPIVOTDATA("Sum of "&amp;C$4,Pivot!$A$3,"Manufacturer",$B9),0)</f>
        <v>0</v>
      </c>
      <c r="D9" s="42">
        <f>IFERROR(GETPIVOTDATA("Sum of "&amp;D$4,Pivot!$A$3,"Manufacturer",$B9),0)</f>
        <v>0</v>
      </c>
      <c r="E9" s="55" t="str">
        <f t="shared" si="0"/>
        <v>n.a.</v>
      </c>
      <c r="F9" s="42">
        <f>IFERROR(GETPIVOTDATA("Sum of "&amp;F$4,Pivot!$A$3,"Manufacturer",$B9),0)</f>
        <v>4.4634999999999998</v>
      </c>
      <c r="G9" s="42">
        <f>IFERROR(GETPIVOTDATA("Sum of "&amp;G$4,Pivot!$A$3,"Manufacturer",$B9),0)</f>
        <v>231.33420000000001</v>
      </c>
      <c r="H9" s="55">
        <f t="shared" si="1"/>
        <v>19.294596302665148</v>
      </c>
      <c r="I9" s="42">
        <f>IFERROR(GETPIVOTDATA("Sum of "&amp;I$4,Pivot!$A$3,"Manufacturer",$B9),0)</f>
        <v>5.9010000000000007</v>
      </c>
      <c r="J9" s="42">
        <f>IFERROR(GETPIVOTDATA("Sum of "&amp;J$4,Pivot!$A$3,"Manufacturer",$B9),0)</f>
        <v>348.19820000000004</v>
      </c>
      <c r="K9" s="55">
        <f t="shared" si="2"/>
        <v>16.94724441424453</v>
      </c>
      <c r="M9" s="44" t="str">
        <f t="shared" si="3"/>
        <v>n.a.</v>
      </c>
      <c r="N9" s="44" t="str">
        <f t="shared" si="4"/>
        <v>n.a.</v>
      </c>
      <c r="O9" s="44" t="str">
        <f t="shared" si="5"/>
        <v>n.a.</v>
      </c>
    </row>
    <row r="10" spans="2:15" x14ac:dyDescent="0.15">
      <c r="B10" s="37" t="s">
        <v>717</v>
      </c>
      <c r="C10" s="42">
        <f>IFERROR(GETPIVOTDATA("Sum of "&amp;C$4,Pivot!$A$3,"Manufacturer",$B10),0)</f>
        <v>0.70520000000000005</v>
      </c>
      <c r="D10" s="42">
        <f>IFERROR(GETPIVOTDATA("Sum of "&amp;D$4,Pivot!$A$3,"Manufacturer",$B10),0)</f>
        <v>47.325299999999999</v>
      </c>
      <c r="E10" s="55">
        <f t="shared" si="0"/>
        <v>14.90112054228922</v>
      </c>
      <c r="F10" s="42">
        <f>IFERROR(GETPIVOTDATA("Sum of "&amp;F$4,Pivot!$A$3,"Manufacturer",$B10),0)</f>
        <v>0</v>
      </c>
      <c r="G10" s="42">
        <f>IFERROR(GETPIVOTDATA("Sum of "&amp;G$4,Pivot!$A$3,"Manufacturer",$B10),0)</f>
        <v>0</v>
      </c>
      <c r="H10" s="55" t="str">
        <f t="shared" si="1"/>
        <v>n.a.</v>
      </c>
      <c r="I10" s="42">
        <f>IFERROR(GETPIVOTDATA("Sum of "&amp;I$4,Pivot!$A$3,"Manufacturer",$B10),0)</f>
        <v>0</v>
      </c>
      <c r="J10" s="42">
        <f>IFERROR(GETPIVOTDATA("Sum of "&amp;J$4,Pivot!$A$3,"Manufacturer",$B10),0)</f>
        <v>0</v>
      </c>
      <c r="K10" s="55" t="str">
        <f t="shared" si="2"/>
        <v>n.a.</v>
      </c>
      <c r="M10" s="44">
        <f t="shared" si="3"/>
        <v>-1</v>
      </c>
      <c r="N10" s="44">
        <f t="shared" si="4"/>
        <v>-1</v>
      </c>
      <c r="O10" s="44" t="str">
        <f t="shared" si="5"/>
        <v>n.a.</v>
      </c>
    </row>
    <row r="11" spans="2:15" x14ac:dyDescent="0.15">
      <c r="B11" s="37" t="s">
        <v>718</v>
      </c>
      <c r="C11" s="42">
        <f>IFERROR(GETPIVOTDATA("Sum of "&amp;C$4,Pivot!$A$3,"Manufacturer",$B11),0)</f>
        <v>104.6661</v>
      </c>
      <c r="D11" s="42">
        <f>IFERROR(GETPIVOTDATA("Sum of "&amp;D$4,Pivot!$A$3,"Manufacturer",$B11),0)</f>
        <v>5728.6424000000006</v>
      </c>
      <c r="E11" s="55">
        <f t="shared" si="0"/>
        <v>18.270663918557737</v>
      </c>
      <c r="F11" s="42">
        <f>IFERROR(GETPIVOTDATA("Sum of "&amp;F$4,Pivot!$A$3,"Manufacturer",$B11),0)</f>
        <v>94.425000000000011</v>
      </c>
      <c r="G11" s="42">
        <f>IFERROR(GETPIVOTDATA("Sum of "&amp;G$4,Pivot!$A$3,"Manufacturer",$B11),0)</f>
        <v>5002.3732</v>
      </c>
      <c r="H11" s="55">
        <f t="shared" si="1"/>
        <v>18.87604067605352</v>
      </c>
      <c r="I11" s="42">
        <f>IFERROR(GETPIVOTDATA("Sum of "&amp;I$4,Pivot!$A$3,"Manufacturer",$B11),0)</f>
        <v>45.948399999999999</v>
      </c>
      <c r="J11" s="42">
        <f>IFERROR(GETPIVOTDATA("Sum of "&amp;J$4,Pivot!$A$3,"Manufacturer",$B11),0)</f>
        <v>2228.9191000000001</v>
      </c>
      <c r="K11" s="55">
        <f t="shared" si="2"/>
        <v>20.614655776425444</v>
      </c>
      <c r="M11" s="44">
        <f t="shared" si="3"/>
        <v>-9.7845434195025782E-2</v>
      </c>
      <c r="N11" s="44">
        <f t="shared" si="4"/>
        <v>-0.12677858893758154</v>
      </c>
      <c r="O11" s="44">
        <f t="shared" si="5"/>
        <v>3.3133812771898974E-2</v>
      </c>
    </row>
    <row r="12" spans="2:15" x14ac:dyDescent="0.15">
      <c r="B12" s="37" t="s">
        <v>719</v>
      </c>
      <c r="C12" s="42">
        <f>IFERROR(GETPIVOTDATA("Sum of "&amp;C$4,Pivot!$A$3,"Manufacturer",$B12),0)</f>
        <v>1.5393000000000001</v>
      </c>
      <c r="D12" s="42">
        <f>IFERROR(GETPIVOTDATA("Sum of "&amp;D$4,Pivot!$A$3,"Manufacturer",$B12),0)</f>
        <v>71.357399999999998</v>
      </c>
      <c r="E12" s="55">
        <f t="shared" si="0"/>
        <v>21.571694035937412</v>
      </c>
      <c r="F12" s="42">
        <f>IFERROR(GETPIVOTDATA("Sum of "&amp;F$4,Pivot!$A$3,"Manufacturer",$B12),0)</f>
        <v>2.0579000000000001</v>
      </c>
      <c r="G12" s="42">
        <f>IFERROR(GETPIVOTDATA("Sum of "&amp;G$4,Pivot!$A$3,"Manufacturer",$B12),0)</f>
        <v>96.843099999999993</v>
      </c>
      <c r="H12" s="55">
        <f t="shared" si="1"/>
        <v>21.249836075053359</v>
      </c>
      <c r="I12" s="42">
        <f>IFERROR(GETPIVOTDATA("Sum of "&amp;I$4,Pivot!$A$3,"Manufacturer",$B12),0)</f>
        <v>0.68209999999999993</v>
      </c>
      <c r="J12" s="42">
        <f>IFERROR(GETPIVOTDATA("Sum of "&amp;J$4,Pivot!$A$3,"Manufacturer",$B12),0)</f>
        <v>27.710999999999999</v>
      </c>
      <c r="K12" s="55">
        <f t="shared" si="2"/>
        <v>24.614773916495253</v>
      </c>
      <c r="M12" s="44">
        <f t="shared" si="3"/>
        <v>0.33690638601961931</v>
      </c>
      <c r="N12" s="44">
        <f t="shared" si="4"/>
        <v>0.35715566990949776</v>
      </c>
      <c r="O12" s="44">
        <f t="shared" si="5"/>
        <v>-1.4920384108352946E-2</v>
      </c>
    </row>
    <row r="13" spans="2:15" x14ac:dyDescent="0.15">
      <c r="B13" s="37" t="s">
        <v>720</v>
      </c>
      <c r="C13" s="42">
        <f>IFERROR(GETPIVOTDATA("Sum of "&amp;C$4,Pivot!$A$3,"Manufacturer",$B13),0)</f>
        <v>4.4499999999999998E-2</v>
      </c>
      <c r="D13" s="42">
        <f>IFERROR(GETPIVOTDATA("Sum of "&amp;D$4,Pivot!$A$3,"Manufacturer",$B13),0)</f>
        <v>0.36759999999999998</v>
      </c>
      <c r="E13" s="55">
        <f t="shared" si="0"/>
        <v>121.05549510337323</v>
      </c>
      <c r="F13" s="42">
        <f>IFERROR(GETPIVOTDATA("Sum of "&amp;F$4,Pivot!$A$3,"Manufacturer",$B13),0)</f>
        <v>6.2E-2</v>
      </c>
      <c r="G13" s="42">
        <f>IFERROR(GETPIVOTDATA("Sum of "&amp;G$4,Pivot!$A$3,"Manufacturer",$B13),0)</f>
        <v>0.48380000000000001</v>
      </c>
      <c r="H13" s="55">
        <f t="shared" si="1"/>
        <v>128.15212897891689</v>
      </c>
      <c r="I13" s="42">
        <f>IFERROR(GETPIVOTDATA("Sum of "&amp;I$4,Pivot!$A$3,"Manufacturer",$B13),0)</f>
        <v>0</v>
      </c>
      <c r="J13" s="42">
        <f>IFERROR(GETPIVOTDATA("Sum of "&amp;J$4,Pivot!$A$3,"Manufacturer",$B13),0)</f>
        <v>0</v>
      </c>
      <c r="K13" s="55" t="str">
        <f t="shared" si="2"/>
        <v>n.a.</v>
      </c>
      <c r="M13" s="44">
        <f t="shared" si="3"/>
        <v>0.39325842696629221</v>
      </c>
      <c r="N13" s="44">
        <f t="shared" si="4"/>
        <v>0.31610446137105552</v>
      </c>
      <c r="O13" s="44">
        <f t="shared" si="5"/>
        <v>5.8622980059547247E-2</v>
      </c>
    </row>
    <row r="14" spans="2:15" x14ac:dyDescent="0.15">
      <c r="B14" s="37" t="s">
        <v>721</v>
      </c>
      <c r="C14" s="42">
        <f>IFERROR(GETPIVOTDATA("Sum of "&amp;C$4,Pivot!$A$3,"Manufacturer",$B14),0)</f>
        <v>11.963200000000001</v>
      </c>
      <c r="D14" s="42">
        <f>IFERROR(GETPIVOTDATA("Sum of "&amp;D$4,Pivot!$A$3,"Manufacturer",$B14),0)</f>
        <v>603.27649999999994</v>
      </c>
      <c r="E14" s="55">
        <f t="shared" si="0"/>
        <v>19.830376286827022</v>
      </c>
      <c r="F14" s="42">
        <f>IFERROR(GETPIVOTDATA("Sum of "&amp;F$4,Pivot!$A$3,"Manufacturer",$B14),0)</f>
        <v>18.136400000000002</v>
      </c>
      <c r="G14" s="42">
        <f>IFERROR(GETPIVOTDATA("Sum of "&amp;G$4,Pivot!$A$3,"Manufacturer",$B14),0)</f>
        <v>937.45159999999987</v>
      </c>
      <c r="H14" s="55">
        <f t="shared" si="1"/>
        <v>19.34649212823361</v>
      </c>
      <c r="I14" s="42">
        <f>IFERROR(GETPIVOTDATA("Sum of "&amp;I$4,Pivot!$A$3,"Manufacturer",$B14),0)</f>
        <v>9.0268999999999995</v>
      </c>
      <c r="J14" s="42">
        <f>IFERROR(GETPIVOTDATA("Sum of "&amp;J$4,Pivot!$A$3,"Manufacturer",$B14),0)</f>
        <v>454.77449999999999</v>
      </c>
      <c r="K14" s="55">
        <f t="shared" si="2"/>
        <v>19.849177999206198</v>
      </c>
      <c r="M14" s="44">
        <f t="shared" si="3"/>
        <v>0.51601578173064078</v>
      </c>
      <c r="N14" s="44">
        <f t="shared" si="4"/>
        <v>0.55393356114484815</v>
      </c>
      <c r="O14" s="44">
        <f t="shared" si="5"/>
        <v>-2.4401158686779278E-2</v>
      </c>
    </row>
    <row r="15" spans="2:15" x14ac:dyDescent="0.15">
      <c r="B15" s="37" t="s">
        <v>722</v>
      </c>
      <c r="C15" s="42">
        <f>IFERROR(GETPIVOTDATA("Sum of "&amp;C$4,Pivot!$A$3,"Manufacturer",$B15),0)</f>
        <v>0</v>
      </c>
      <c r="D15" s="42">
        <f>IFERROR(GETPIVOTDATA("Sum of "&amp;D$4,Pivot!$A$3,"Manufacturer",$B15),0)</f>
        <v>0</v>
      </c>
      <c r="E15" s="55" t="str">
        <f t="shared" si="0"/>
        <v>n.a.</v>
      </c>
      <c r="F15" s="42">
        <f>IFERROR(GETPIVOTDATA("Sum of "&amp;F$4,Pivot!$A$3,"Manufacturer",$B15),0)</f>
        <v>13.192</v>
      </c>
      <c r="G15" s="42">
        <f>IFERROR(GETPIVOTDATA("Sum of "&amp;G$4,Pivot!$A$3,"Manufacturer",$B15),0)</f>
        <v>565.53910000000008</v>
      </c>
      <c r="H15" s="55">
        <f t="shared" si="1"/>
        <v>23.326415450319878</v>
      </c>
      <c r="I15" s="42">
        <f>IFERROR(GETPIVOTDATA("Sum of "&amp;I$4,Pivot!$A$3,"Manufacturer",$B15),0)</f>
        <v>52.811099999999996</v>
      </c>
      <c r="J15" s="42">
        <f>IFERROR(GETPIVOTDATA("Sum of "&amp;J$4,Pivot!$A$3,"Manufacturer",$B15),0)</f>
        <v>2091.2260999999999</v>
      </c>
      <c r="K15" s="55">
        <f t="shared" si="2"/>
        <v>25.253653825380241</v>
      </c>
      <c r="M15" s="44" t="str">
        <f t="shared" si="3"/>
        <v>n.a.</v>
      </c>
      <c r="N15" s="44" t="str">
        <f t="shared" si="4"/>
        <v>n.a.</v>
      </c>
      <c r="O15" s="44" t="str">
        <f t="shared" si="5"/>
        <v>n.a.</v>
      </c>
    </row>
    <row r="16" spans="2:15" x14ac:dyDescent="0.15">
      <c r="B16" s="37" t="s">
        <v>723</v>
      </c>
      <c r="C16" s="42">
        <f>IFERROR(GETPIVOTDATA("Sum of "&amp;C$4,Pivot!$A$3,"Manufacturer",$B16),0)</f>
        <v>3.1665000000000001</v>
      </c>
      <c r="D16" s="42">
        <f>IFERROR(GETPIVOTDATA("Sum of "&amp;D$4,Pivot!$A$3,"Manufacturer",$B16),0)</f>
        <v>65.203199999999995</v>
      </c>
      <c r="E16" s="55">
        <f t="shared" si="0"/>
        <v>48.563567432273267</v>
      </c>
      <c r="F16" s="42">
        <f>IFERROR(GETPIVOTDATA("Sum of "&amp;F$4,Pivot!$A$3,"Manufacturer",$B16),0)</f>
        <v>2.1886999999999999</v>
      </c>
      <c r="G16" s="42">
        <f>IFERROR(GETPIVOTDATA("Sum of "&amp;G$4,Pivot!$A$3,"Manufacturer",$B16),0)</f>
        <v>50.370399999999997</v>
      </c>
      <c r="H16" s="55">
        <f t="shared" si="1"/>
        <v>43.452106792878361</v>
      </c>
      <c r="I16" s="42">
        <f>IFERROR(GETPIVOTDATA("Sum of "&amp;I$4,Pivot!$A$3,"Manufacturer",$B16),0)</f>
        <v>0.46299999999999997</v>
      </c>
      <c r="J16" s="42">
        <f>IFERROR(GETPIVOTDATA("Sum of "&amp;J$4,Pivot!$A$3,"Manufacturer",$B16),0)</f>
        <v>10.166499999999999</v>
      </c>
      <c r="K16" s="55">
        <f t="shared" si="2"/>
        <v>45.541730192298232</v>
      </c>
      <c r="M16" s="44">
        <f t="shared" si="3"/>
        <v>-0.30879519974735514</v>
      </c>
      <c r="N16" s="44">
        <f t="shared" si="4"/>
        <v>-0.22748576756968986</v>
      </c>
      <c r="O16" s="44">
        <f t="shared" si="5"/>
        <v>-0.10525298921919912</v>
      </c>
    </row>
    <row r="17" spans="2:15" x14ac:dyDescent="0.15">
      <c r="B17" s="37" t="s">
        <v>724</v>
      </c>
      <c r="C17" s="42">
        <f>IFERROR(GETPIVOTDATA("Sum of "&amp;C$4,Pivot!$A$3,"Manufacturer",$B17),0)</f>
        <v>0</v>
      </c>
      <c r="D17" s="42">
        <f>IFERROR(GETPIVOTDATA("Sum of "&amp;D$4,Pivot!$A$3,"Manufacturer",$B17),0)</f>
        <v>0</v>
      </c>
      <c r="E17" s="55" t="str">
        <f t="shared" si="0"/>
        <v>n.a.</v>
      </c>
      <c r="F17" s="42">
        <f>IFERROR(GETPIVOTDATA("Sum of "&amp;F$4,Pivot!$A$3,"Manufacturer",$B17),0)</f>
        <v>0</v>
      </c>
      <c r="G17" s="42">
        <f>IFERROR(GETPIVOTDATA("Sum of "&amp;G$4,Pivot!$A$3,"Manufacturer",$B17),0)</f>
        <v>0</v>
      </c>
      <c r="H17" s="55" t="str">
        <f t="shared" si="1"/>
        <v>n.a.</v>
      </c>
      <c r="I17" s="42">
        <f>IFERROR(GETPIVOTDATA("Sum of "&amp;I$4,Pivot!$A$3,"Manufacturer",$B17),0)</f>
        <v>5.57E-2</v>
      </c>
      <c r="J17" s="42">
        <f>IFERROR(GETPIVOTDATA("Sum of "&amp;J$4,Pivot!$A$3,"Manufacturer",$B17),0)</f>
        <v>1.7425999999999999</v>
      </c>
      <c r="K17" s="55">
        <f t="shared" si="2"/>
        <v>31.963732353953862</v>
      </c>
      <c r="M17" s="44" t="str">
        <f t="shared" si="3"/>
        <v>n.a.</v>
      </c>
      <c r="N17" s="44" t="str">
        <f t="shared" si="4"/>
        <v>n.a.</v>
      </c>
      <c r="O17" s="44" t="str">
        <f t="shared" si="5"/>
        <v>n.a.</v>
      </c>
    </row>
    <row r="18" spans="2:15" x14ac:dyDescent="0.15">
      <c r="B18" s="37" t="s">
        <v>725</v>
      </c>
      <c r="C18" s="42">
        <f>IFERROR(GETPIVOTDATA("Sum of "&amp;C$4,Pivot!$A$3,"Manufacturer",$B18),0)</f>
        <v>471.64439999999991</v>
      </c>
      <c r="D18" s="42">
        <f>IFERROR(GETPIVOTDATA("Sum of "&amp;D$4,Pivot!$A$3,"Manufacturer",$B18),0)</f>
        <v>13724.1564</v>
      </c>
      <c r="E18" s="55">
        <f t="shared" si="0"/>
        <v>34.366002998916564</v>
      </c>
      <c r="F18" s="42">
        <f>IFERROR(GETPIVOTDATA("Sum of "&amp;F$4,Pivot!$A$3,"Manufacturer",$B18),0)</f>
        <v>448.00139999999999</v>
      </c>
      <c r="G18" s="42">
        <f>IFERROR(GETPIVOTDATA("Sum of "&amp;G$4,Pivot!$A$3,"Manufacturer",$B18),0)</f>
        <v>13181.3513</v>
      </c>
      <c r="H18" s="55">
        <f t="shared" si="1"/>
        <v>33.98751689441734</v>
      </c>
      <c r="I18" s="42">
        <f>IFERROR(GETPIVOTDATA("Sum of "&amp;I$4,Pivot!$A$3,"Manufacturer",$B18),0)</f>
        <v>276.14019999999999</v>
      </c>
      <c r="J18" s="42">
        <f>IFERROR(GETPIVOTDATA("Sum of "&amp;J$4,Pivot!$A$3,"Manufacturer",$B18),0)</f>
        <v>8823.5240000000013</v>
      </c>
      <c r="K18" s="55">
        <f t="shared" si="2"/>
        <v>31.295908528157224</v>
      </c>
      <c r="M18" s="44">
        <f t="shared" si="3"/>
        <v>-5.0128868274488037E-2</v>
      </c>
      <c r="N18" s="44">
        <f t="shared" si="4"/>
        <v>-3.9551072151873701E-2</v>
      </c>
      <c r="O18" s="44">
        <f t="shared" si="5"/>
        <v>-1.1013387402403318E-2</v>
      </c>
    </row>
    <row r="19" spans="2:15" x14ac:dyDescent="0.15">
      <c r="B19" s="37" t="s">
        <v>726</v>
      </c>
      <c r="C19" s="42">
        <f>IFERROR(GETPIVOTDATA("Sum of "&amp;C$4,Pivot!$A$3,"Manufacturer",$B19),0)</f>
        <v>0.22359999999999999</v>
      </c>
      <c r="D19" s="42">
        <f>IFERROR(GETPIVOTDATA("Sum of "&amp;D$4,Pivot!$A$3,"Manufacturer",$B19),0)</f>
        <v>12.2155</v>
      </c>
      <c r="E19" s="55">
        <f t="shared" si="0"/>
        <v>18.304612991690885</v>
      </c>
      <c r="F19" s="42">
        <f>IFERROR(GETPIVOTDATA("Sum of "&amp;F$4,Pivot!$A$3,"Manufacturer",$B19),0)</f>
        <v>1.0136000000000001</v>
      </c>
      <c r="G19" s="42">
        <f>IFERROR(GETPIVOTDATA("Sum of "&amp;G$4,Pivot!$A$3,"Manufacturer",$B19),0)</f>
        <v>49.151600000000002</v>
      </c>
      <c r="H19" s="55">
        <f t="shared" si="1"/>
        <v>20.621912613221138</v>
      </c>
      <c r="I19" s="42">
        <f>IFERROR(GETPIVOTDATA("Sum of "&amp;I$4,Pivot!$A$3,"Manufacturer",$B19),0)</f>
        <v>1.0571999999999999</v>
      </c>
      <c r="J19" s="42">
        <f>IFERROR(GETPIVOTDATA("Sum of "&amp;J$4,Pivot!$A$3,"Manufacturer",$B19),0)</f>
        <v>44.717399999999998</v>
      </c>
      <c r="K19" s="55">
        <f t="shared" si="2"/>
        <v>23.64180386158408</v>
      </c>
      <c r="M19" s="44">
        <f t="shared" si="3"/>
        <v>3.5330948121645802</v>
      </c>
      <c r="N19" s="44">
        <f t="shared" si="4"/>
        <v>3.0237075846260897</v>
      </c>
      <c r="O19" s="44">
        <f t="shared" si="5"/>
        <v>0.12659648267800905</v>
      </c>
    </row>
    <row r="20" spans="2:15" x14ac:dyDescent="0.15">
      <c r="B20" s="37" t="s">
        <v>727</v>
      </c>
      <c r="C20" s="42">
        <f>IFERROR(GETPIVOTDATA("Sum of "&amp;C$4,Pivot!$A$3,"Manufacturer",$B20),0)</f>
        <v>113.3091</v>
      </c>
      <c r="D20" s="42">
        <f>IFERROR(GETPIVOTDATA("Sum of "&amp;D$4,Pivot!$A$3,"Manufacturer",$B20),0)</f>
        <v>1483.433</v>
      </c>
      <c r="E20" s="55">
        <f t="shared" si="0"/>
        <v>76.383025050676366</v>
      </c>
      <c r="F20" s="42">
        <f>IFERROR(GETPIVOTDATA("Sum of "&amp;F$4,Pivot!$A$3,"Manufacturer",$B20),0)</f>
        <v>81.313800000000015</v>
      </c>
      <c r="G20" s="42">
        <f>IFERROR(GETPIVOTDATA("Sum of "&amp;G$4,Pivot!$A$3,"Manufacturer",$B20),0)</f>
        <v>1045.7730999999999</v>
      </c>
      <c r="H20" s="55">
        <f t="shared" si="1"/>
        <v>77.754725188475419</v>
      </c>
      <c r="I20" s="42">
        <f>IFERROR(GETPIVOTDATA("Sum of "&amp;I$4,Pivot!$A$3,"Manufacturer",$B20),0)</f>
        <v>48.297300000000007</v>
      </c>
      <c r="J20" s="42">
        <f>IFERROR(GETPIVOTDATA("Sum of "&amp;J$4,Pivot!$A$3,"Manufacturer",$B20),0)</f>
        <v>598.3963</v>
      </c>
      <c r="K20" s="55">
        <f t="shared" si="2"/>
        <v>80.71122765966301</v>
      </c>
      <c r="M20" s="44">
        <f t="shared" si="3"/>
        <v>-0.2823718483334523</v>
      </c>
      <c r="N20" s="44">
        <f t="shared" si="4"/>
        <v>-0.29503179449290939</v>
      </c>
      <c r="O20" s="44">
        <f t="shared" si="5"/>
        <v>1.7958180327225737E-2</v>
      </c>
    </row>
    <row r="21" spans="2:15" x14ac:dyDescent="0.15">
      <c r="B21" s="37" t="s">
        <v>728</v>
      </c>
      <c r="C21" s="42">
        <f>IFERROR(GETPIVOTDATA("Sum of "&amp;C$4,Pivot!$A$3,"Manufacturer",$B21),0)</f>
        <v>0.52039999999999997</v>
      </c>
      <c r="D21" s="42">
        <f>IFERROR(GETPIVOTDATA("Sum of "&amp;D$4,Pivot!$A$3,"Manufacturer",$B21),0)</f>
        <v>10.5198</v>
      </c>
      <c r="E21" s="55">
        <f t="shared" si="0"/>
        <v>49.468621076446318</v>
      </c>
      <c r="F21" s="42">
        <f>IFERROR(GETPIVOTDATA("Sum of "&amp;F$4,Pivot!$A$3,"Manufacturer",$B21),0)</f>
        <v>1.6072</v>
      </c>
      <c r="G21" s="42">
        <f>IFERROR(GETPIVOTDATA("Sum of "&amp;G$4,Pivot!$A$3,"Manufacturer",$B21),0)</f>
        <v>34.4998</v>
      </c>
      <c r="H21" s="55">
        <f t="shared" si="1"/>
        <v>46.585777308853963</v>
      </c>
      <c r="I21" s="42">
        <f>IFERROR(GETPIVOTDATA("Sum of "&amp;I$4,Pivot!$A$3,"Manufacturer",$B21),0)</f>
        <v>0.16420000000000001</v>
      </c>
      <c r="J21" s="42">
        <f>IFERROR(GETPIVOTDATA("Sum of "&amp;J$4,Pivot!$A$3,"Manufacturer",$B21),0)</f>
        <v>3.1461000000000001</v>
      </c>
      <c r="K21" s="55">
        <f t="shared" si="2"/>
        <v>52.191602301261881</v>
      </c>
      <c r="M21" s="44">
        <f t="shared" si="3"/>
        <v>2.0883935434281322</v>
      </c>
      <c r="N21" s="44">
        <f t="shared" si="4"/>
        <v>2.2795110173197211</v>
      </c>
      <c r="O21" s="44">
        <f t="shared" si="5"/>
        <v>-5.8276210350342139E-2</v>
      </c>
    </row>
    <row r="22" spans="2:15" x14ac:dyDescent="0.15">
      <c r="B22" s="37" t="s">
        <v>730</v>
      </c>
      <c r="C22" s="42">
        <f>IFERROR(GETPIVOTDATA("Sum of "&amp;C$4,Pivot!$A$3,"Manufacturer",$B22),0)</f>
        <v>0</v>
      </c>
      <c r="D22" s="42">
        <f>IFERROR(GETPIVOTDATA("Sum of "&amp;D$4,Pivot!$A$3,"Manufacturer",$B22),0)</f>
        <v>0</v>
      </c>
      <c r="E22" s="55" t="str">
        <f t="shared" si="0"/>
        <v>n.a.</v>
      </c>
      <c r="F22" s="42">
        <f>IFERROR(GETPIVOTDATA("Sum of "&amp;F$4,Pivot!$A$3,"Manufacturer",$B22),0)</f>
        <v>3.7900000000000003E-2</v>
      </c>
      <c r="G22" s="42">
        <f>IFERROR(GETPIVOTDATA("Sum of "&amp;G$4,Pivot!$A$3,"Manufacturer",$B22),0)</f>
        <v>2.3294000000000001</v>
      </c>
      <c r="H22" s="55">
        <f t="shared" si="1"/>
        <v>16.270284193354513</v>
      </c>
      <c r="I22" s="42">
        <f>IFERROR(GETPIVOTDATA("Sum of "&amp;I$4,Pivot!$A$3,"Manufacturer",$B22),0)</f>
        <v>6.93E-2</v>
      </c>
      <c r="J22" s="42">
        <f>IFERROR(GETPIVOTDATA("Sum of "&amp;J$4,Pivot!$A$3,"Manufacturer",$B22),0)</f>
        <v>4.2670000000000003</v>
      </c>
      <c r="K22" s="55">
        <f t="shared" si="2"/>
        <v>16.240918678228262</v>
      </c>
      <c r="M22" s="44" t="str">
        <f t="shared" si="3"/>
        <v>n.a.</v>
      </c>
      <c r="N22" s="44" t="str">
        <f t="shared" si="4"/>
        <v>n.a.</v>
      </c>
      <c r="O22" s="44" t="str">
        <f t="shared" si="5"/>
        <v>n.a.</v>
      </c>
    </row>
    <row r="23" spans="2:15" x14ac:dyDescent="0.15">
      <c r="B23" s="37" t="s">
        <v>731</v>
      </c>
      <c r="C23" s="42">
        <f>IFERROR(GETPIVOTDATA("Sum of "&amp;C$4,Pivot!$A$3,"Manufacturer",$B23),0)</f>
        <v>36.026000000000003</v>
      </c>
      <c r="D23" s="42">
        <f>IFERROR(GETPIVOTDATA("Sum of "&amp;D$4,Pivot!$A$3,"Manufacturer",$B23),0)</f>
        <v>1024.5518</v>
      </c>
      <c r="E23" s="55">
        <f t="shared" si="0"/>
        <v>35.162692603731706</v>
      </c>
      <c r="F23" s="42">
        <f>IFERROR(GETPIVOTDATA("Sum of "&amp;F$4,Pivot!$A$3,"Manufacturer",$B23),0)</f>
        <v>55.229700000000001</v>
      </c>
      <c r="G23" s="42">
        <f>IFERROR(GETPIVOTDATA("Sum of "&amp;G$4,Pivot!$A$3,"Manufacturer",$B23),0)</f>
        <v>1623.7086999999999</v>
      </c>
      <c r="H23" s="55">
        <f t="shared" si="1"/>
        <v>34.014537213479244</v>
      </c>
      <c r="I23" s="42">
        <f>IFERROR(GETPIVOTDATA("Sum of "&amp;I$4,Pivot!$A$3,"Manufacturer",$B23),0)</f>
        <v>85.139499999999998</v>
      </c>
      <c r="J23" s="42">
        <f>IFERROR(GETPIVOTDATA("Sum of "&amp;J$4,Pivot!$A$3,"Manufacturer",$B23),0)</f>
        <v>2439.0853000000002</v>
      </c>
      <c r="K23" s="55">
        <f t="shared" si="2"/>
        <v>34.906323284388613</v>
      </c>
      <c r="M23" s="44">
        <f t="shared" si="3"/>
        <v>0.53305112973963231</v>
      </c>
      <c r="N23" s="44">
        <f t="shared" si="4"/>
        <v>0.58479903114708298</v>
      </c>
      <c r="O23" s="44">
        <f t="shared" si="5"/>
        <v>-3.2652658406785773E-2</v>
      </c>
    </row>
    <row r="24" spans="2:15" x14ac:dyDescent="0.15">
      <c r="B24" s="37" t="s">
        <v>732</v>
      </c>
      <c r="C24" s="42">
        <f>IFERROR(GETPIVOTDATA("Sum of "&amp;C$4,Pivot!$A$3,"Manufacturer",$B24),0)</f>
        <v>1.03E-2</v>
      </c>
      <c r="D24" s="42">
        <f>IFERROR(GETPIVOTDATA("Sum of "&amp;D$4,Pivot!$A$3,"Manufacturer",$B24),0)</f>
        <v>0.3876</v>
      </c>
      <c r="E24" s="55">
        <f t="shared" si="0"/>
        <v>26.573787409700724</v>
      </c>
      <c r="F24" s="42">
        <f>IFERROR(GETPIVOTDATA("Sum of "&amp;F$4,Pivot!$A$3,"Manufacturer",$B24),0)</f>
        <v>0</v>
      </c>
      <c r="G24" s="42">
        <f>IFERROR(GETPIVOTDATA("Sum of "&amp;G$4,Pivot!$A$3,"Manufacturer",$B24),0)</f>
        <v>0</v>
      </c>
      <c r="H24" s="55" t="str">
        <f t="shared" si="1"/>
        <v>n.a.</v>
      </c>
      <c r="I24" s="42">
        <f>IFERROR(GETPIVOTDATA("Sum of "&amp;I$4,Pivot!$A$3,"Manufacturer",$B24),0)</f>
        <v>0</v>
      </c>
      <c r="J24" s="42">
        <f>IFERROR(GETPIVOTDATA("Sum of "&amp;J$4,Pivot!$A$3,"Manufacturer",$B24),0)</f>
        <v>0</v>
      </c>
      <c r="K24" s="55" t="str">
        <f t="shared" si="2"/>
        <v>n.a.</v>
      </c>
      <c r="M24" s="44">
        <f t="shared" si="3"/>
        <v>-1</v>
      </c>
      <c r="N24" s="44">
        <f t="shared" si="4"/>
        <v>-1</v>
      </c>
      <c r="O24" s="44" t="str">
        <f t="shared" si="5"/>
        <v>n.a.</v>
      </c>
    </row>
    <row r="25" spans="2:15" x14ac:dyDescent="0.15">
      <c r="B25" s="37" t="s">
        <v>733</v>
      </c>
      <c r="C25" s="42">
        <f>IFERROR(GETPIVOTDATA("Sum of "&amp;C$4,Pivot!$A$3,"Manufacturer",$B25),0)</f>
        <v>0</v>
      </c>
      <c r="D25" s="42">
        <f>IFERROR(GETPIVOTDATA("Sum of "&amp;D$4,Pivot!$A$3,"Manufacturer",$B25),0)</f>
        <v>0</v>
      </c>
      <c r="E25" s="55" t="str">
        <f t="shared" si="0"/>
        <v>n.a.</v>
      </c>
      <c r="F25" s="42">
        <f>IFERROR(GETPIVOTDATA("Sum of "&amp;F$4,Pivot!$A$3,"Manufacturer",$B25),0)</f>
        <v>1.8077000000000001</v>
      </c>
      <c r="G25" s="42">
        <f>IFERROR(GETPIVOTDATA("Sum of "&amp;G$4,Pivot!$A$3,"Manufacturer",$B25),0)</f>
        <v>127.6024</v>
      </c>
      <c r="H25" s="55">
        <f t="shared" si="1"/>
        <v>14.166661442104537</v>
      </c>
      <c r="I25" s="42">
        <f>IFERROR(GETPIVOTDATA("Sum of "&amp;I$4,Pivot!$A$3,"Manufacturer",$B25),0)</f>
        <v>54.250700000000002</v>
      </c>
      <c r="J25" s="42">
        <f>IFERROR(GETPIVOTDATA("Sum of "&amp;J$4,Pivot!$A$3,"Manufacturer",$B25),0)</f>
        <v>2956.24</v>
      </c>
      <c r="K25" s="55">
        <f t="shared" si="2"/>
        <v>18.351250236787273</v>
      </c>
      <c r="M25" s="44" t="str">
        <f t="shared" si="3"/>
        <v>n.a.</v>
      </c>
      <c r="N25" s="44" t="str">
        <f t="shared" si="4"/>
        <v>n.a.</v>
      </c>
      <c r="O25" s="44" t="str">
        <f t="shared" si="5"/>
        <v>n.a.</v>
      </c>
    </row>
    <row r="26" spans="2:15" x14ac:dyDescent="0.15">
      <c r="B26" s="37" t="s">
        <v>734</v>
      </c>
      <c r="C26" s="42">
        <f>IFERROR(GETPIVOTDATA("Sum of "&amp;C$4,Pivot!$A$3,"Manufacturer",$B26),0)</f>
        <v>0</v>
      </c>
      <c r="D26" s="42">
        <f>IFERROR(GETPIVOTDATA("Sum of "&amp;D$4,Pivot!$A$3,"Manufacturer",$B26),0)</f>
        <v>0</v>
      </c>
      <c r="E26" s="55" t="str">
        <f t="shared" si="0"/>
        <v>n.a.</v>
      </c>
      <c r="F26" s="42">
        <f>IFERROR(GETPIVOTDATA("Sum of "&amp;F$4,Pivot!$A$3,"Manufacturer",$B26),0)</f>
        <v>0.1202</v>
      </c>
      <c r="G26" s="42">
        <f>IFERROR(GETPIVOTDATA("Sum of "&amp;G$4,Pivot!$A$3,"Manufacturer",$B26),0)</f>
        <v>2.4085999999999999</v>
      </c>
      <c r="H26" s="55">
        <f t="shared" si="1"/>
        <v>49.904508843311469</v>
      </c>
      <c r="I26" s="42">
        <f>IFERROR(GETPIVOTDATA("Sum of "&amp;I$4,Pivot!$A$3,"Manufacturer",$B26),0)</f>
        <v>0</v>
      </c>
      <c r="J26" s="42">
        <f>IFERROR(GETPIVOTDATA("Sum of "&amp;J$4,Pivot!$A$3,"Manufacturer",$B26),0)</f>
        <v>0</v>
      </c>
      <c r="K26" s="55" t="str">
        <f t="shared" si="2"/>
        <v>n.a.</v>
      </c>
      <c r="M26" s="44" t="str">
        <f t="shared" si="3"/>
        <v>n.a.</v>
      </c>
      <c r="N26" s="44" t="str">
        <f t="shared" si="4"/>
        <v>n.a.</v>
      </c>
      <c r="O26" s="44" t="str">
        <f t="shared" si="5"/>
        <v>n.a.</v>
      </c>
    </row>
    <row r="27" spans="2:15" x14ac:dyDescent="0.15">
      <c r="B27" s="37" t="s">
        <v>735</v>
      </c>
      <c r="C27" s="42">
        <f>IFERROR(GETPIVOTDATA("Sum of "&amp;C$4,Pivot!$A$3,"Manufacturer",$B27),0)</f>
        <v>212.4264</v>
      </c>
      <c r="D27" s="42">
        <f>IFERROR(GETPIVOTDATA("Sum of "&amp;D$4,Pivot!$A$3,"Manufacturer",$B27),0)</f>
        <v>11963.1037</v>
      </c>
      <c r="E27" s="55">
        <f t="shared" si="0"/>
        <v>17.756796674762587</v>
      </c>
      <c r="F27" s="42">
        <f>IFERROR(GETPIVOTDATA("Sum of "&amp;F$4,Pivot!$A$3,"Manufacturer",$B27),0)</f>
        <v>118.9335</v>
      </c>
      <c r="G27" s="42">
        <f>IFERROR(GETPIVOTDATA("Sum of "&amp;G$4,Pivot!$A$3,"Manufacturer",$B27),0)</f>
        <v>6284.8911999999991</v>
      </c>
      <c r="H27" s="55">
        <f t="shared" si="1"/>
        <v>18.923716611036962</v>
      </c>
      <c r="I27" s="42">
        <f>IFERROR(GETPIVOTDATA("Sum of "&amp;I$4,Pivot!$A$3,"Manufacturer",$B27),0)</f>
        <v>32.277000000000001</v>
      </c>
      <c r="J27" s="42">
        <f>IFERROR(GETPIVOTDATA("Sum of "&amp;J$4,Pivot!$A$3,"Manufacturer",$B27),0)</f>
        <v>1340.7376999999999</v>
      </c>
      <c r="K27" s="55">
        <f t="shared" si="2"/>
        <v>24.074060123766195</v>
      </c>
      <c r="M27" s="44">
        <f t="shared" si="3"/>
        <v>-0.44011902475398545</v>
      </c>
      <c r="N27" s="44">
        <f t="shared" si="4"/>
        <v>-0.47464375820799753</v>
      </c>
      <c r="O27" s="44">
        <f t="shared" si="5"/>
        <v>6.5716804536760653E-2</v>
      </c>
    </row>
    <row r="28" spans="2:15" x14ac:dyDescent="0.15">
      <c r="B28" s="37" t="s">
        <v>737</v>
      </c>
      <c r="C28" s="42">
        <f>IFERROR(GETPIVOTDATA("Sum of "&amp;C$4,Pivot!$A$3,"Manufacturer",$B28),0)</f>
        <v>8.9794</v>
      </c>
      <c r="D28" s="42">
        <f>IFERROR(GETPIVOTDATA("Sum of "&amp;D$4,Pivot!$A$3,"Manufacturer",$B28),0)</f>
        <v>618.46879999999999</v>
      </c>
      <c r="E28" s="55">
        <f t="shared" si="0"/>
        <v>14.518759879237239</v>
      </c>
      <c r="F28" s="42">
        <f>IFERROR(GETPIVOTDATA("Sum of "&amp;F$4,Pivot!$A$3,"Manufacturer",$B28),0)</f>
        <v>0</v>
      </c>
      <c r="G28" s="42">
        <f>IFERROR(GETPIVOTDATA("Sum of "&amp;G$4,Pivot!$A$3,"Manufacturer",$B28),0)</f>
        <v>0</v>
      </c>
      <c r="H28" s="55" t="str">
        <f t="shared" si="1"/>
        <v>n.a.</v>
      </c>
      <c r="I28" s="42">
        <f>IFERROR(GETPIVOTDATA("Sum of "&amp;I$4,Pivot!$A$3,"Manufacturer",$B28),0)</f>
        <v>0</v>
      </c>
      <c r="J28" s="42">
        <f>IFERROR(GETPIVOTDATA("Sum of "&amp;J$4,Pivot!$A$3,"Manufacturer",$B28),0)</f>
        <v>0</v>
      </c>
      <c r="K28" s="55" t="str">
        <f t="shared" si="2"/>
        <v>n.a.</v>
      </c>
      <c r="M28" s="44">
        <f t="shared" si="3"/>
        <v>-1</v>
      </c>
      <c r="N28" s="44">
        <f t="shared" si="4"/>
        <v>-1</v>
      </c>
      <c r="O28" s="44" t="str">
        <f t="shared" si="5"/>
        <v>n.a.</v>
      </c>
    </row>
    <row r="29" spans="2:15" x14ac:dyDescent="0.15">
      <c r="B29" s="37" t="s">
        <v>738</v>
      </c>
      <c r="C29" s="42">
        <f>IFERROR(GETPIVOTDATA("Sum of "&amp;C$4,Pivot!$A$3,"Manufacturer",$B29),0)</f>
        <v>28.101299999999998</v>
      </c>
      <c r="D29" s="42">
        <f>IFERROR(GETPIVOTDATA("Sum of "&amp;D$4,Pivot!$A$3,"Manufacturer",$B29),0)</f>
        <v>1283.3091999999999</v>
      </c>
      <c r="E29" s="55">
        <f t="shared" si="0"/>
        <v>21.897528670409283</v>
      </c>
      <c r="F29" s="42">
        <f>IFERROR(GETPIVOTDATA("Sum of "&amp;F$4,Pivot!$A$3,"Manufacturer",$B29),0)</f>
        <v>242.19460000000001</v>
      </c>
      <c r="G29" s="42">
        <f>IFERROR(GETPIVOTDATA("Sum of "&amp;G$4,Pivot!$A$3,"Manufacturer",$B29),0)</f>
        <v>13602.248999999998</v>
      </c>
      <c r="H29" s="55">
        <f t="shared" si="1"/>
        <v>17.805482019921858</v>
      </c>
      <c r="I29" s="42">
        <f>IFERROR(GETPIVOTDATA("Sum of "&amp;I$4,Pivot!$A$3,"Manufacturer",$B29),0)</f>
        <v>67.606300000000005</v>
      </c>
      <c r="J29" s="42">
        <f>IFERROR(GETPIVOTDATA("Sum of "&amp;J$4,Pivot!$A$3,"Manufacturer",$B29),0)</f>
        <v>3938.0097999999998</v>
      </c>
      <c r="K29" s="55">
        <f t="shared" si="2"/>
        <v>17.167631223264099</v>
      </c>
      <c r="M29" s="44">
        <f t="shared" si="3"/>
        <v>7.6186261845537402</v>
      </c>
      <c r="N29" s="44">
        <f t="shared" si="4"/>
        <v>9.5993543878591368</v>
      </c>
      <c r="O29" s="44">
        <f t="shared" si="5"/>
        <v>-0.18687253306429585</v>
      </c>
    </row>
    <row r="30" spans="2:15" x14ac:dyDescent="0.15">
      <c r="B30" s="37" t="s">
        <v>739</v>
      </c>
      <c r="C30" s="42">
        <f>IFERROR(GETPIVOTDATA("Sum of "&amp;C$4,Pivot!$A$3,"Manufacturer",$B30),0)</f>
        <v>0</v>
      </c>
      <c r="D30" s="42">
        <f>IFERROR(GETPIVOTDATA("Sum of "&amp;D$4,Pivot!$A$3,"Manufacturer",$B30),0)</f>
        <v>0</v>
      </c>
      <c r="E30" s="55" t="str">
        <f t="shared" si="0"/>
        <v>n.a.</v>
      </c>
      <c r="F30" s="42">
        <f>IFERROR(GETPIVOTDATA("Sum of "&amp;F$4,Pivot!$A$3,"Manufacturer",$B30),0)</f>
        <v>170.66500000000002</v>
      </c>
      <c r="G30" s="42">
        <f>IFERROR(GETPIVOTDATA("Sum of "&amp;G$4,Pivot!$A$3,"Manufacturer",$B30),0)</f>
        <v>10947.355800000001</v>
      </c>
      <c r="H30" s="55">
        <f t="shared" si="1"/>
        <v>15.58960931917459</v>
      </c>
      <c r="I30" s="42">
        <f>IFERROR(GETPIVOTDATA("Sum of "&amp;I$4,Pivot!$A$3,"Manufacturer",$B30),0)</f>
        <v>101.533</v>
      </c>
      <c r="J30" s="42">
        <f>IFERROR(GETPIVOTDATA("Sum of "&amp;J$4,Pivot!$A$3,"Manufacturer",$B30),0)</f>
        <v>5713.8588</v>
      </c>
      <c r="K30" s="55">
        <f t="shared" si="2"/>
        <v>17.76960256700778</v>
      </c>
      <c r="M30" s="44" t="str">
        <f t="shared" si="3"/>
        <v>n.a.</v>
      </c>
      <c r="N30" s="44" t="str">
        <f t="shared" si="4"/>
        <v>n.a.</v>
      </c>
      <c r="O30" s="44" t="str">
        <f t="shared" si="5"/>
        <v>n.a.</v>
      </c>
    </row>
    <row r="31" spans="2:15" x14ac:dyDescent="0.15">
      <c r="B31" s="37" t="s">
        <v>740</v>
      </c>
      <c r="C31" s="42">
        <f>IFERROR(GETPIVOTDATA("Sum of "&amp;C$4,Pivot!$A$3,"Manufacturer",$B31),0)</f>
        <v>0.24010000000000001</v>
      </c>
      <c r="D31" s="42">
        <f>IFERROR(GETPIVOTDATA("Sum of "&amp;D$4,Pivot!$A$3,"Manufacturer",$B31),0)</f>
        <v>10.8056</v>
      </c>
      <c r="E31" s="55">
        <f t="shared" si="0"/>
        <v>22.219960020729992</v>
      </c>
      <c r="F31" s="42">
        <f>IFERROR(GETPIVOTDATA("Sum of "&amp;F$4,Pivot!$A$3,"Manufacturer",$B31),0)</f>
        <v>0</v>
      </c>
      <c r="G31" s="42">
        <f>IFERROR(GETPIVOTDATA("Sum of "&amp;G$4,Pivot!$A$3,"Manufacturer",$B31),0)</f>
        <v>0</v>
      </c>
      <c r="H31" s="55" t="str">
        <f t="shared" si="1"/>
        <v>n.a.</v>
      </c>
      <c r="I31" s="42">
        <f>IFERROR(GETPIVOTDATA("Sum of "&amp;I$4,Pivot!$A$3,"Manufacturer",$B31),0)</f>
        <v>0</v>
      </c>
      <c r="J31" s="42">
        <f>IFERROR(GETPIVOTDATA("Sum of "&amp;J$4,Pivot!$A$3,"Manufacturer",$B31),0)</f>
        <v>0</v>
      </c>
      <c r="K31" s="55" t="str">
        <f t="shared" si="2"/>
        <v>n.a.</v>
      </c>
      <c r="M31" s="44">
        <f t="shared" si="3"/>
        <v>-1</v>
      </c>
      <c r="N31" s="44">
        <f t="shared" si="4"/>
        <v>-1</v>
      </c>
      <c r="O31" s="44" t="str">
        <f t="shared" si="5"/>
        <v>n.a.</v>
      </c>
    </row>
    <row r="32" spans="2:15" x14ac:dyDescent="0.15">
      <c r="B32" s="37" t="s">
        <v>741</v>
      </c>
      <c r="C32" s="42">
        <f>IFERROR(GETPIVOTDATA("Sum of "&amp;C$4,Pivot!$A$3,"Manufacturer",$B32),0)</f>
        <v>8.6898999999999997</v>
      </c>
      <c r="D32" s="42">
        <f>IFERROR(GETPIVOTDATA("Sum of "&amp;D$4,Pivot!$A$3,"Manufacturer",$B32),0)</f>
        <v>161.0712</v>
      </c>
      <c r="E32" s="55">
        <f t="shared" si="0"/>
        <v>53.950675229339573</v>
      </c>
      <c r="F32" s="42">
        <f>IFERROR(GETPIVOTDATA("Sum of "&amp;F$4,Pivot!$A$3,"Manufacturer",$B32),0)</f>
        <v>1.198</v>
      </c>
      <c r="G32" s="42">
        <f>IFERROR(GETPIVOTDATA("Sum of "&amp;G$4,Pivot!$A$3,"Manufacturer",$B32),0)</f>
        <v>29.083500000000001</v>
      </c>
      <c r="H32" s="55">
        <f t="shared" si="1"/>
        <v>41.191741021541418</v>
      </c>
      <c r="I32" s="42">
        <f>IFERROR(GETPIVOTDATA("Sum of "&amp;I$4,Pivot!$A$3,"Manufacturer",$B32),0)</f>
        <v>0.1404</v>
      </c>
      <c r="J32" s="42">
        <f>IFERROR(GETPIVOTDATA("Sum of "&amp;J$4,Pivot!$A$3,"Manufacturer",$B32),0)</f>
        <v>1.4401999999999999</v>
      </c>
      <c r="K32" s="55">
        <f t="shared" si="2"/>
        <v>97.486460213859189</v>
      </c>
      <c r="M32" s="44">
        <f t="shared" si="3"/>
        <v>-0.86213880481938809</v>
      </c>
      <c r="N32" s="44">
        <f t="shared" si="4"/>
        <v>-0.81943699432300743</v>
      </c>
      <c r="O32" s="44">
        <f t="shared" si="5"/>
        <v>-0.2364925768502627</v>
      </c>
    </row>
    <row r="33" spans="2:15" x14ac:dyDescent="0.15">
      <c r="B33" s="37" t="s">
        <v>742</v>
      </c>
      <c r="C33" s="42">
        <f>IFERROR(GETPIVOTDATA("Sum of "&amp;C$4,Pivot!$A$3,"Manufacturer",$B33),0)</f>
        <v>15.6526</v>
      </c>
      <c r="D33" s="42">
        <f>IFERROR(GETPIVOTDATA("Sum of "&amp;D$4,Pivot!$A$3,"Manufacturer",$B33),0)</f>
        <v>709.86449999999991</v>
      </c>
      <c r="E33" s="55">
        <f t="shared" si="0"/>
        <v>22.050123650358625</v>
      </c>
      <c r="F33" s="42">
        <f>IFERROR(GETPIVOTDATA("Sum of "&amp;F$4,Pivot!$A$3,"Manufacturer",$B33),0)</f>
        <v>38.264299999999999</v>
      </c>
      <c r="G33" s="42">
        <f>IFERROR(GETPIVOTDATA("Sum of "&amp;G$4,Pivot!$A$3,"Manufacturer",$B33),0)</f>
        <v>1422.4409000000001</v>
      </c>
      <c r="H33" s="55">
        <f t="shared" si="1"/>
        <v>26.900449783186069</v>
      </c>
      <c r="I33" s="42">
        <f>IFERROR(GETPIVOTDATA("Sum of "&amp;I$4,Pivot!$A$3,"Manufacturer",$B33),0)</f>
        <v>12.5625</v>
      </c>
      <c r="J33" s="42">
        <f>IFERROR(GETPIVOTDATA("Sum of "&amp;J$4,Pivot!$A$3,"Manufacturer",$B33),0)</f>
        <v>440.1789</v>
      </c>
      <c r="K33" s="55">
        <f t="shared" si="2"/>
        <v>28.539532449192819</v>
      </c>
      <c r="M33" s="44">
        <f t="shared" si="3"/>
        <v>1.4445970637465981</v>
      </c>
      <c r="N33" s="44">
        <f t="shared" si="4"/>
        <v>1.0038203065514617</v>
      </c>
      <c r="O33" s="44">
        <f t="shared" si="5"/>
        <v>0.21996820560906727</v>
      </c>
    </row>
    <row r="34" spans="2:15" x14ac:dyDescent="0.15">
      <c r="B34" s="37" t="s">
        <v>743</v>
      </c>
      <c r="C34" s="42">
        <f>IFERROR(GETPIVOTDATA("Sum of "&amp;C$4,Pivot!$A$3,"Manufacturer",$B34),0)</f>
        <v>9.2643000000000004</v>
      </c>
      <c r="D34" s="42">
        <f>IFERROR(GETPIVOTDATA("Sum of "&amp;D$4,Pivot!$A$3,"Manufacturer",$B34),0)</f>
        <v>358.95989999999995</v>
      </c>
      <c r="E34" s="55">
        <f t="shared" si="0"/>
        <v>25.808732396014157</v>
      </c>
      <c r="F34" s="42">
        <f>IFERROR(GETPIVOTDATA("Sum of "&amp;F$4,Pivot!$A$3,"Manufacturer",$B34),0)</f>
        <v>0.1729</v>
      </c>
      <c r="G34" s="42">
        <f>IFERROR(GETPIVOTDATA("Sum of "&amp;G$4,Pivot!$A$3,"Manufacturer",$B34),0)</f>
        <v>4.9572000000000003</v>
      </c>
      <c r="H34" s="55">
        <f t="shared" si="1"/>
        <v>34.878560477689014</v>
      </c>
      <c r="I34" s="42">
        <f>IFERROR(GETPIVOTDATA("Sum of "&amp;I$4,Pivot!$A$3,"Manufacturer",$B34),0)</f>
        <v>3.0000000000000001E-3</v>
      </c>
      <c r="J34" s="42">
        <f>IFERROR(GETPIVOTDATA("Sum of "&amp;J$4,Pivot!$A$3,"Manufacturer",$B34),0)</f>
        <v>7.1999999999999995E-2</v>
      </c>
      <c r="K34" s="55">
        <f t="shared" si="2"/>
        <v>41.666666666666671</v>
      </c>
      <c r="M34" s="44">
        <f t="shared" si="3"/>
        <v>-0.98133696015888949</v>
      </c>
      <c r="N34" s="44">
        <f t="shared" si="4"/>
        <v>-0.98619010089984982</v>
      </c>
      <c r="O34" s="44">
        <f t="shared" si="5"/>
        <v>0.35142477912148751</v>
      </c>
    </row>
    <row r="35" spans="2:15" x14ac:dyDescent="0.15">
      <c r="B35" s="37" t="s">
        <v>744</v>
      </c>
      <c r="C35" s="42">
        <f>IFERROR(GETPIVOTDATA("Sum of "&amp;C$4,Pivot!$A$3,"Manufacturer",$B35),0)</f>
        <v>1012.9229999999999</v>
      </c>
      <c r="D35" s="42">
        <f>IFERROR(GETPIVOTDATA("Sum of "&amp;D$4,Pivot!$A$3,"Manufacturer",$B35),0)</f>
        <v>57405.587099999997</v>
      </c>
      <c r="E35" s="55">
        <f t="shared" si="0"/>
        <v>17.645024659977739</v>
      </c>
      <c r="F35" s="42">
        <f>IFERROR(GETPIVOTDATA("Sum of "&amp;F$4,Pivot!$A$3,"Manufacturer",$B35),0)</f>
        <v>822.98120000000029</v>
      </c>
      <c r="G35" s="42">
        <f>IFERROR(GETPIVOTDATA("Sum of "&amp;G$4,Pivot!$A$3,"Manufacturer",$B35),0)</f>
        <v>44546.771699999998</v>
      </c>
      <c r="H35" s="55">
        <f t="shared" si="1"/>
        <v>18.474541893683405</v>
      </c>
      <c r="I35" s="42">
        <f>IFERROR(GETPIVOTDATA("Sum of "&amp;I$4,Pivot!$A$3,"Manufacturer",$B35),0)</f>
        <v>367.98779999999999</v>
      </c>
      <c r="J35" s="42">
        <f>IFERROR(GETPIVOTDATA("Sum of "&amp;J$4,Pivot!$A$3,"Manufacturer",$B35),0)</f>
        <v>18766.2333</v>
      </c>
      <c r="K35" s="55">
        <f t="shared" si="2"/>
        <v>19.609038964681314</v>
      </c>
      <c r="M35" s="44">
        <f t="shared" si="3"/>
        <v>-0.18751849844460011</v>
      </c>
      <c r="N35" s="44">
        <f t="shared" si="4"/>
        <v>-0.22399937096018308</v>
      </c>
      <c r="O35" s="44">
        <f t="shared" si="5"/>
        <v>4.7011395545803136E-2</v>
      </c>
    </row>
    <row r="36" spans="2:15" x14ac:dyDescent="0.15">
      <c r="B36" s="37" t="s">
        <v>745</v>
      </c>
      <c r="C36" s="42">
        <f>IFERROR(GETPIVOTDATA("Sum of "&amp;C$4,Pivot!$A$3,"Manufacturer",$B36),0)</f>
        <v>14.2293</v>
      </c>
      <c r="D36" s="42">
        <f>IFERROR(GETPIVOTDATA("Sum of "&amp;D$4,Pivot!$A$3,"Manufacturer",$B36),0)</f>
        <v>761.61429999999996</v>
      </c>
      <c r="E36" s="55">
        <f t="shared" si="0"/>
        <v>18.68307882349373</v>
      </c>
      <c r="F36" s="42">
        <f>IFERROR(GETPIVOTDATA("Sum of "&amp;F$4,Pivot!$A$3,"Manufacturer",$B36),0)</f>
        <v>21.789000000000001</v>
      </c>
      <c r="G36" s="42">
        <f>IFERROR(GETPIVOTDATA("Sum of "&amp;G$4,Pivot!$A$3,"Manufacturer",$B36),0)</f>
        <v>1129.7994000000001</v>
      </c>
      <c r="H36" s="55">
        <f t="shared" si="1"/>
        <v>19.285724527734747</v>
      </c>
      <c r="I36" s="42">
        <f>IFERROR(GETPIVOTDATA("Sum of "&amp;I$4,Pivot!$A$3,"Manufacturer",$B36),0)</f>
        <v>7.9466000000000001</v>
      </c>
      <c r="J36" s="42">
        <f>IFERROR(GETPIVOTDATA("Sum of "&amp;J$4,Pivot!$A$3,"Manufacturer",$B36),0)</f>
        <v>412.24349999999998</v>
      </c>
      <c r="K36" s="55">
        <f t="shared" si="2"/>
        <v>19.276471308825975</v>
      </c>
      <c r="M36" s="44">
        <f t="shared" si="3"/>
        <v>0.53127701292403717</v>
      </c>
      <c r="N36" s="44">
        <f t="shared" si="4"/>
        <v>0.48342724132149328</v>
      </c>
      <c r="O36" s="44">
        <f t="shared" si="5"/>
        <v>3.2256230888626281E-2</v>
      </c>
    </row>
    <row r="37" spans="2:15" x14ac:dyDescent="0.15">
      <c r="B37" s="37" t="s">
        <v>746</v>
      </c>
      <c r="C37" s="42">
        <f>IFERROR(GETPIVOTDATA("Sum of "&amp;C$4,Pivot!$A$3,"Manufacturer",$B37),0)</f>
        <v>7.4866999999999999</v>
      </c>
      <c r="D37" s="42">
        <f>IFERROR(GETPIVOTDATA("Sum of "&amp;D$4,Pivot!$A$3,"Manufacturer",$B37),0)</f>
        <v>509.18150000000003</v>
      </c>
      <c r="E37" s="55">
        <f t="shared" si="0"/>
        <v>14.70340143936887</v>
      </c>
      <c r="F37" s="42">
        <f>IFERROR(GETPIVOTDATA("Sum of "&amp;F$4,Pivot!$A$3,"Manufacturer",$B37),0)</f>
        <v>1.5100000000000001E-2</v>
      </c>
      <c r="G37" s="42">
        <f>IFERROR(GETPIVOTDATA("Sum of "&amp;G$4,Pivot!$A$3,"Manufacturer",$B37),0)</f>
        <v>0.77590000000000003</v>
      </c>
      <c r="H37" s="55">
        <f t="shared" si="1"/>
        <v>19.461270782317307</v>
      </c>
      <c r="I37" s="42">
        <f>IFERROR(GETPIVOTDATA("Sum of "&amp;I$4,Pivot!$A$3,"Manufacturer",$B37),0)</f>
        <v>0</v>
      </c>
      <c r="J37" s="42">
        <f>IFERROR(GETPIVOTDATA("Sum of "&amp;J$4,Pivot!$A$3,"Manufacturer",$B37),0)</f>
        <v>0</v>
      </c>
      <c r="K37" s="55" t="str">
        <f t="shared" si="2"/>
        <v>n.a.</v>
      </c>
      <c r="M37" s="44">
        <f t="shared" si="3"/>
        <v>-0.99798309001295626</v>
      </c>
      <c r="N37" s="44">
        <f t="shared" si="4"/>
        <v>-0.99847618187227938</v>
      </c>
      <c r="O37" s="44">
        <f t="shared" si="5"/>
        <v>0.32358970559078104</v>
      </c>
    </row>
    <row r="38" spans="2:15" x14ac:dyDescent="0.15">
      <c r="B38" s="37" t="s">
        <v>747</v>
      </c>
      <c r="C38" s="42">
        <f>IFERROR(GETPIVOTDATA("Sum of "&amp;C$4,Pivot!$A$3,"Manufacturer",$B38),0)</f>
        <v>9.1873000000000005</v>
      </c>
      <c r="D38" s="42">
        <f>IFERROR(GETPIVOTDATA("Sum of "&amp;D$4,Pivot!$A$3,"Manufacturer",$B38),0)</f>
        <v>430.16890000000001</v>
      </c>
      <c r="E38" s="55">
        <f t="shared" si="0"/>
        <v>21.357424955639519</v>
      </c>
      <c r="F38" s="42">
        <f>IFERROR(GETPIVOTDATA("Sum of "&amp;F$4,Pivot!$A$3,"Manufacturer",$B38),0)</f>
        <v>0</v>
      </c>
      <c r="G38" s="42">
        <f>IFERROR(GETPIVOTDATA("Sum of "&amp;G$4,Pivot!$A$3,"Manufacturer",$B38),0)</f>
        <v>0</v>
      </c>
      <c r="H38" s="55" t="str">
        <f t="shared" si="1"/>
        <v>n.a.</v>
      </c>
      <c r="I38" s="42">
        <f>IFERROR(GETPIVOTDATA("Sum of "&amp;I$4,Pivot!$A$3,"Manufacturer",$B38),0)</f>
        <v>0</v>
      </c>
      <c r="J38" s="42">
        <f>IFERROR(GETPIVOTDATA("Sum of "&amp;J$4,Pivot!$A$3,"Manufacturer",$B38),0)</f>
        <v>0</v>
      </c>
      <c r="K38" s="55" t="str">
        <f t="shared" si="2"/>
        <v>n.a.</v>
      </c>
      <c r="M38" s="44">
        <f t="shared" si="3"/>
        <v>-1</v>
      </c>
      <c r="N38" s="44">
        <f t="shared" si="4"/>
        <v>-1</v>
      </c>
      <c r="O38" s="44" t="str">
        <f t="shared" si="5"/>
        <v>n.a.</v>
      </c>
    </row>
    <row r="39" spans="2:15" x14ac:dyDescent="0.15">
      <c r="B39" s="37" t="s">
        <v>748</v>
      </c>
      <c r="C39" s="42">
        <f>IFERROR(GETPIVOTDATA("Sum of "&amp;C$4,Pivot!$A$3,"Manufacturer",$B39),0)</f>
        <v>77.652300000000011</v>
      </c>
      <c r="D39" s="42">
        <f>IFERROR(GETPIVOTDATA("Sum of "&amp;D$4,Pivot!$A$3,"Manufacturer",$B39),0)</f>
        <v>3136.2814000000003</v>
      </c>
      <c r="E39" s="55">
        <f t="shared" si="0"/>
        <v>24.759353545252669</v>
      </c>
      <c r="F39" s="42">
        <f>IFERROR(GETPIVOTDATA("Sum of "&amp;F$4,Pivot!$A$3,"Manufacturer",$B39),0)</f>
        <v>36.366199999999999</v>
      </c>
      <c r="G39" s="42">
        <f>IFERROR(GETPIVOTDATA("Sum of "&amp;G$4,Pivot!$A$3,"Manufacturer",$B39),0)</f>
        <v>1512.1393</v>
      </c>
      <c r="H39" s="55">
        <f t="shared" si="1"/>
        <v>24.049503904832047</v>
      </c>
      <c r="I39" s="42">
        <f>IFERROR(GETPIVOTDATA("Sum of "&amp;I$4,Pivot!$A$3,"Manufacturer",$B39),0)</f>
        <v>17.4221</v>
      </c>
      <c r="J39" s="42">
        <f>IFERROR(GETPIVOTDATA("Sum of "&amp;J$4,Pivot!$A$3,"Manufacturer",$B39),0)</f>
        <v>684.81539999999995</v>
      </c>
      <c r="K39" s="55">
        <f t="shared" si="2"/>
        <v>25.440578585119436</v>
      </c>
      <c r="M39" s="44">
        <f t="shared" si="3"/>
        <v>-0.53167903590750054</v>
      </c>
      <c r="N39" s="44">
        <f t="shared" si="4"/>
        <v>-0.51785598702973523</v>
      </c>
      <c r="O39" s="44">
        <f t="shared" si="5"/>
        <v>-2.8669958572352439E-2</v>
      </c>
    </row>
    <row r="40" spans="2:15" x14ac:dyDescent="0.15">
      <c r="B40" s="37" t="s">
        <v>749</v>
      </c>
      <c r="C40" s="42">
        <f>IFERROR(GETPIVOTDATA("Sum of "&amp;C$4,Pivot!$A$3,"Manufacturer",$B40),0)</f>
        <v>230.7483</v>
      </c>
      <c r="D40" s="42">
        <f>IFERROR(GETPIVOTDATA("Sum of "&amp;D$4,Pivot!$A$3,"Manufacturer",$B40),0)</f>
        <v>11792.6654</v>
      </c>
      <c r="E40" s="55">
        <f t="shared" si="0"/>
        <v>19.567103124964436</v>
      </c>
      <c r="F40" s="42">
        <f>IFERROR(GETPIVOTDATA("Sum of "&amp;F$4,Pivot!$A$3,"Manufacturer",$B40),0)</f>
        <v>302.06579999999997</v>
      </c>
      <c r="G40" s="42">
        <f>IFERROR(GETPIVOTDATA("Sum of "&amp;G$4,Pivot!$A$3,"Manufacturer",$B40),0)</f>
        <v>15544.817700000001</v>
      </c>
      <c r="H40" s="55">
        <f t="shared" si="1"/>
        <v>19.431929394707531</v>
      </c>
      <c r="I40" s="42">
        <f>IFERROR(GETPIVOTDATA("Sum of "&amp;I$4,Pivot!$A$3,"Manufacturer",$B40),0)</f>
        <v>144.00239999999999</v>
      </c>
      <c r="J40" s="42">
        <f>IFERROR(GETPIVOTDATA("Sum of "&amp;J$4,Pivot!$A$3,"Manufacturer",$B40),0)</f>
        <v>7126.6585000000005</v>
      </c>
      <c r="K40" s="55">
        <f t="shared" si="2"/>
        <v>20.206159731099781</v>
      </c>
      <c r="M40" s="44">
        <f t="shared" si="3"/>
        <v>0.30907053269731555</v>
      </c>
      <c r="N40" s="44">
        <f t="shared" si="4"/>
        <v>0.31817677961082502</v>
      </c>
      <c r="O40" s="44">
        <f t="shared" si="5"/>
        <v>-6.9082137194057536E-3</v>
      </c>
    </row>
    <row r="41" spans="2:15" x14ac:dyDescent="0.15">
      <c r="B41" s="37" t="s">
        <v>750</v>
      </c>
      <c r="C41" s="42">
        <f>IFERROR(GETPIVOTDATA("Sum of "&amp;C$4,Pivot!$A$3,"Manufacturer",$B41),0)</f>
        <v>332.01659999999998</v>
      </c>
      <c r="D41" s="42">
        <f>IFERROR(GETPIVOTDATA("Sum of "&amp;D$4,Pivot!$A$3,"Manufacturer",$B41),0)</f>
        <v>9811.9588999999996</v>
      </c>
      <c r="E41" s="55">
        <f t="shared" si="0"/>
        <v>33.837952582536808</v>
      </c>
      <c r="F41" s="42">
        <f>IFERROR(GETPIVOTDATA("Sum of "&amp;F$4,Pivot!$A$3,"Manufacturer",$B41),0)</f>
        <v>406.09359999999998</v>
      </c>
      <c r="G41" s="42">
        <f>IFERROR(GETPIVOTDATA("Sum of "&amp;G$4,Pivot!$A$3,"Manufacturer",$B41),0)</f>
        <v>12002.1489</v>
      </c>
      <c r="H41" s="55">
        <f t="shared" si="1"/>
        <v>33.835074317399943</v>
      </c>
      <c r="I41" s="42">
        <f>IFERROR(GETPIVOTDATA("Sum of "&amp;I$4,Pivot!$A$3,"Manufacturer",$B41),0)</f>
        <v>185.50480000000002</v>
      </c>
      <c r="J41" s="42">
        <f>IFERROR(GETPIVOTDATA("Sum of "&amp;J$4,Pivot!$A$3,"Manufacturer",$B41),0)</f>
        <v>5143.8026999999993</v>
      </c>
      <c r="K41" s="55">
        <f t="shared" si="2"/>
        <v>36.063747157331683</v>
      </c>
      <c r="M41" s="44">
        <f t="shared" si="3"/>
        <v>0.2231123383589857</v>
      </c>
      <c r="N41" s="44">
        <f t="shared" si="4"/>
        <v>0.22321638546610711</v>
      </c>
      <c r="O41" s="44">
        <f t="shared" si="5"/>
        <v>-8.5060262728475777E-5</v>
      </c>
    </row>
    <row r="42" spans="2:15" x14ac:dyDescent="0.15">
      <c r="B42" s="37" t="s">
        <v>751</v>
      </c>
      <c r="C42" s="42">
        <f>IFERROR(GETPIVOTDATA("Sum of "&amp;C$4,Pivot!$A$3,"Manufacturer",$B42),0)</f>
        <v>4.01</v>
      </c>
      <c r="D42" s="42">
        <f>IFERROR(GETPIVOTDATA("Sum of "&amp;D$4,Pivot!$A$3,"Manufacturer",$B42),0)</f>
        <v>83.552000000000007</v>
      </c>
      <c r="E42" s="55">
        <f t="shared" si="0"/>
        <v>47.994063577173492</v>
      </c>
      <c r="F42" s="42">
        <f>IFERROR(GETPIVOTDATA("Sum of "&amp;F$4,Pivot!$A$3,"Manufacturer",$B42),0)</f>
        <v>6.6558000000000002</v>
      </c>
      <c r="G42" s="42">
        <f>IFERROR(GETPIVOTDATA("Sum of "&amp;G$4,Pivot!$A$3,"Manufacturer",$B42),0)</f>
        <v>115.5257</v>
      </c>
      <c r="H42" s="55">
        <f t="shared" si="1"/>
        <v>57.613154475584224</v>
      </c>
      <c r="I42" s="42">
        <f>IFERROR(GETPIVOTDATA("Sum of "&amp;I$4,Pivot!$A$3,"Manufacturer",$B42),0)</f>
        <v>0</v>
      </c>
      <c r="J42" s="42">
        <f>IFERROR(GETPIVOTDATA("Sum of "&amp;J$4,Pivot!$A$3,"Manufacturer",$B42),0)</f>
        <v>0</v>
      </c>
      <c r="K42" s="55" t="str">
        <f t="shared" si="2"/>
        <v>n.a.</v>
      </c>
      <c r="M42" s="44">
        <f t="shared" si="3"/>
        <v>0.65980049875311741</v>
      </c>
      <c r="N42" s="44">
        <f t="shared" si="4"/>
        <v>0.38268024703178849</v>
      </c>
      <c r="O42" s="44">
        <f t="shared" si="5"/>
        <v>0.20042251440000336</v>
      </c>
    </row>
    <row r="43" spans="2:15" x14ac:dyDescent="0.15">
      <c r="B43" s="37" t="s">
        <v>752</v>
      </c>
      <c r="C43" s="42">
        <f>IFERROR(GETPIVOTDATA("Sum of "&amp;C$4,Pivot!$A$3,"Manufacturer",$B43),0)</f>
        <v>113.4866</v>
      </c>
      <c r="D43" s="42">
        <f>IFERROR(GETPIVOTDATA("Sum of "&amp;D$4,Pivot!$A$3,"Manufacturer",$B43),0)</f>
        <v>2663.5763000000002</v>
      </c>
      <c r="E43" s="55">
        <f t="shared" si="0"/>
        <v>42.606851547672953</v>
      </c>
      <c r="F43" s="42">
        <f>IFERROR(GETPIVOTDATA("Sum of "&amp;F$4,Pivot!$A$3,"Manufacturer",$B43),0)</f>
        <v>49.046300000000002</v>
      </c>
      <c r="G43" s="42">
        <f>IFERROR(GETPIVOTDATA("Sum of "&amp;G$4,Pivot!$A$3,"Manufacturer",$B43),0)</f>
        <v>1050.6374999999998</v>
      </c>
      <c r="H43" s="55">
        <f t="shared" si="1"/>
        <v>46.682419007507356</v>
      </c>
      <c r="I43" s="42">
        <f>IFERROR(GETPIVOTDATA("Sum of "&amp;I$4,Pivot!$A$3,"Manufacturer",$B43),0)</f>
        <v>12.3329</v>
      </c>
      <c r="J43" s="42">
        <f>IFERROR(GETPIVOTDATA("Sum of "&amp;J$4,Pivot!$A$3,"Manufacturer",$B43),0)</f>
        <v>244.387</v>
      </c>
      <c r="K43" s="55">
        <f t="shared" si="2"/>
        <v>50.464631915772934</v>
      </c>
      <c r="M43" s="44">
        <f t="shared" si="3"/>
        <v>-0.56782298526874531</v>
      </c>
      <c r="N43" s="44">
        <f t="shared" si="4"/>
        <v>-0.60555381875112801</v>
      </c>
      <c r="O43" s="44">
        <f t="shared" si="5"/>
        <v>9.5655212994891992E-2</v>
      </c>
    </row>
    <row r="44" spans="2:15" x14ac:dyDescent="0.15">
      <c r="B44" s="37" t="s">
        <v>753</v>
      </c>
      <c r="C44" s="42">
        <f>IFERROR(GETPIVOTDATA("Sum of "&amp;C$4,Pivot!$A$3,"Manufacturer",$B44),0)</f>
        <v>6.6299999999999998E-2</v>
      </c>
      <c r="D44" s="42">
        <f>IFERROR(GETPIVOTDATA("Sum of "&amp;D$4,Pivot!$A$3,"Manufacturer",$B44),0)</f>
        <v>0.504</v>
      </c>
      <c r="E44" s="55">
        <f t="shared" si="0"/>
        <v>131.54761904761907</v>
      </c>
      <c r="F44" s="42">
        <f>IFERROR(GETPIVOTDATA("Sum of "&amp;F$4,Pivot!$A$3,"Manufacturer",$B44),0)</f>
        <v>0.12959999999999999</v>
      </c>
      <c r="G44" s="42">
        <f>IFERROR(GETPIVOTDATA("Sum of "&amp;G$4,Pivot!$A$3,"Manufacturer",$B44),0)</f>
        <v>0.91539999999999999</v>
      </c>
      <c r="H44" s="55">
        <f t="shared" si="1"/>
        <v>141.57745247979025</v>
      </c>
      <c r="I44" s="42">
        <f>IFERROR(GETPIVOTDATA("Sum of "&amp;I$4,Pivot!$A$3,"Manufacturer",$B44),0)</f>
        <v>7.1499999999999994E-2</v>
      </c>
      <c r="J44" s="42">
        <f>IFERROR(GETPIVOTDATA("Sum of "&amp;J$4,Pivot!$A$3,"Manufacturer",$B44),0)</f>
        <v>0.52459999999999996</v>
      </c>
      <c r="K44" s="55">
        <f t="shared" si="2"/>
        <v>136.29431948150972</v>
      </c>
      <c r="M44" s="44">
        <f t="shared" si="3"/>
        <v>0.9547511312217194</v>
      </c>
      <c r="N44" s="44">
        <f t="shared" si="4"/>
        <v>0.81626984126984126</v>
      </c>
      <c r="O44" s="44">
        <f t="shared" si="5"/>
        <v>7.6244887629174585E-2</v>
      </c>
    </row>
    <row r="45" spans="2:15" x14ac:dyDescent="0.15">
      <c r="B45" s="37" t="s">
        <v>754</v>
      </c>
      <c r="C45" s="42">
        <f>IFERROR(GETPIVOTDATA("Sum of "&amp;C$4,Pivot!$A$3,"Manufacturer",$B45),0)</f>
        <v>220.27779999999998</v>
      </c>
      <c r="D45" s="42">
        <f>IFERROR(GETPIVOTDATA("Sum of "&amp;D$4,Pivot!$A$3,"Manufacturer",$B45),0)</f>
        <v>1748.9223999999999</v>
      </c>
      <c r="E45" s="55">
        <f t="shared" si="0"/>
        <v>125.95058534329482</v>
      </c>
      <c r="F45" s="42">
        <f>IFERROR(GETPIVOTDATA("Sum of "&amp;F$4,Pivot!$A$3,"Manufacturer",$B45),0)</f>
        <v>271.9984</v>
      </c>
      <c r="G45" s="42">
        <f>IFERROR(GETPIVOTDATA("Sum of "&amp;G$4,Pivot!$A$3,"Manufacturer",$B45),0)</f>
        <v>2358.5311999999999</v>
      </c>
      <c r="H45" s="55">
        <f t="shared" si="1"/>
        <v>115.32533468287383</v>
      </c>
      <c r="I45" s="42">
        <f>IFERROR(GETPIVOTDATA("Sum of "&amp;I$4,Pivot!$A$3,"Manufacturer",$B45),0)</f>
        <v>141.2388</v>
      </c>
      <c r="J45" s="42">
        <f>IFERROR(GETPIVOTDATA("Sum of "&amp;J$4,Pivot!$A$3,"Manufacturer",$B45),0)</f>
        <v>1240.7412999999999</v>
      </c>
      <c r="K45" s="55">
        <f t="shared" si="2"/>
        <v>113.83420540607459</v>
      </c>
      <c r="M45" s="44">
        <f t="shared" si="3"/>
        <v>0.23479715159675663</v>
      </c>
      <c r="N45" s="44">
        <f t="shared" si="4"/>
        <v>0.34856252055551473</v>
      </c>
      <c r="O45" s="44">
        <f t="shared" si="5"/>
        <v>-8.4360470667607212E-2</v>
      </c>
    </row>
    <row r="46" spans="2:15" x14ac:dyDescent="0.15">
      <c r="B46" s="37" t="s">
        <v>755</v>
      </c>
      <c r="C46" s="42">
        <f>IFERROR(GETPIVOTDATA("Sum of "&amp;C$4,Pivot!$A$3,"Manufacturer",$B46),0)</f>
        <v>0</v>
      </c>
      <c r="D46" s="42">
        <f>IFERROR(GETPIVOTDATA("Sum of "&amp;D$4,Pivot!$A$3,"Manufacturer",$B46),0)</f>
        <v>0</v>
      </c>
      <c r="E46" s="55" t="str">
        <f t="shared" si="0"/>
        <v>n.a.</v>
      </c>
      <c r="F46" s="42">
        <f>IFERROR(GETPIVOTDATA("Sum of "&amp;F$4,Pivot!$A$3,"Manufacturer",$B46),0)</f>
        <v>0.44869999999999999</v>
      </c>
      <c r="G46" s="42">
        <f>IFERROR(GETPIVOTDATA("Sum of "&amp;G$4,Pivot!$A$3,"Manufacturer",$B46),0)</f>
        <v>7.1882999999999999</v>
      </c>
      <c r="H46" s="55">
        <f t="shared" si="1"/>
        <v>62.420878371798622</v>
      </c>
      <c r="I46" s="42">
        <f>IFERROR(GETPIVOTDATA("Sum of "&amp;I$4,Pivot!$A$3,"Manufacturer",$B46),0)</f>
        <v>0.18529999999999999</v>
      </c>
      <c r="J46" s="42">
        <f>IFERROR(GETPIVOTDATA("Sum of "&amp;J$4,Pivot!$A$3,"Manufacturer",$B46),0)</f>
        <v>2.9676</v>
      </c>
      <c r="K46" s="55">
        <f t="shared" si="2"/>
        <v>62.441029788381179</v>
      </c>
      <c r="M46" s="44" t="str">
        <f t="shared" si="3"/>
        <v>n.a.</v>
      </c>
      <c r="N46" s="44" t="str">
        <f t="shared" si="4"/>
        <v>n.a.</v>
      </c>
      <c r="O46" s="44" t="str">
        <f t="shared" si="5"/>
        <v>n.a.</v>
      </c>
    </row>
    <row r="47" spans="2:15" x14ac:dyDescent="0.15">
      <c r="B47" s="37" t="s">
        <v>756</v>
      </c>
      <c r="C47" s="42">
        <f>IFERROR(GETPIVOTDATA("Sum of "&amp;C$4,Pivot!$A$3,"Manufacturer",$B47),0)</f>
        <v>34.405900000000003</v>
      </c>
      <c r="D47" s="42">
        <f>IFERROR(GETPIVOTDATA("Sum of "&amp;D$4,Pivot!$A$3,"Manufacturer",$B47),0)</f>
        <v>1027.0906</v>
      </c>
      <c r="E47" s="55">
        <f t="shared" si="0"/>
        <v>33.49840802749047</v>
      </c>
      <c r="F47" s="42">
        <f>IFERROR(GETPIVOTDATA("Sum of "&amp;F$4,Pivot!$A$3,"Manufacturer",$B47),0)</f>
        <v>2.0082999999999998</v>
      </c>
      <c r="G47" s="42">
        <f>IFERROR(GETPIVOTDATA("Sum of "&amp;G$4,Pivot!$A$3,"Manufacturer",$B47),0)</f>
        <v>44.666600000000003</v>
      </c>
      <c r="H47" s="55">
        <f t="shared" si="1"/>
        <v>44.962007405981197</v>
      </c>
      <c r="I47" s="42">
        <f>IFERROR(GETPIVOTDATA("Sum of "&amp;I$4,Pivot!$A$3,"Manufacturer",$B47),0)</f>
        <v>5.9499999999999997E-2</v>
      </c>
      <c r="J47" s="42">
        <f>IFERROR(GETPIVOTDATA("Sum of "&amp;J$4,Pivot!$A$3,"Manufacturer",$B47),0)</f>
        <v>0.51659999999999995</v>
      </c>
      <c r="K47" s="55">
        <f t="shared" si="2"/>
        <v>115.17615176151762</v>
      </c>
      <c r="M47" s="44">
        <f t="shared" si="3"/>
        <v>-0.94162919731790184</v>
      </c>
      <c r="N47" s="44">
        <f t="shared" si="4"/>
        <v>-0.9565115287784739</v>
      </c>
      <c r="O47" s="44">
        <f t="shared" si="5"/>
        <v>0.34221325888332133</v>
      </c>
    </row>
    <row r="48" spans="2:15" x14ac:dyDescent="0.15">
      <c r="B48" s="37" t="s">
        <v>757</v>
      </c>
      <c r="C48" s="42">
        <f>IFERROR(GETPIVOTDATA("Sum of "&amp;C$4,Pivot!$A$3,"Manufacturer",$B48),0)</f>
        <v>0</v>
      </c>
      <c r="D48" s="42">
        <f>IFERROR(GETPIVOTDATA("Sum of "&amp;D$4,Pivot!$A$3,"Manufacturer",$B48),0)</f>
        <v>0</v>
      </c>
      <c r="E48" s="55" t="str">
        <f t="shared" si="0"/>
        <v>n.a.</v>
      </c>
      <c r="F48" s="42">
        <f>IFERROR(GETPIVOTDATA("Sum of "&amp;F$4,Pivot!$A$3,"Manufacturer",$B48),0)</f>
        <v>10.2052</v>
      </c>
      <c r="G48" s="42">
        <f>IFERROR(GETPIVOTDATA("Sum of "&amp;G$4,Pivot!$A$3,"Manufacturer",$B48),0)</f>
        <v>569.2527</v>
      </c>
      <c r="H48" s="55">
        <f t="shared" si="1"/>
        <v>17.927363366041128</v>
      </c>
      <c r="I48" s="42">
        <f>IFERROR(GETPIVOTDATA("Sum of "&amp;I$4,Pivot!$A$3,"Manufacturer",$B48),0)</f>
        <v>14.4321</v>
      </c>
      <c r="J48" s="42">
        <f>IFERROR(GETPIVOTDATA("Sum of "&amp;J$4,Pivot!$A$3,"Manufacturer",$B48),0)</f>
        <v>716.4248</v>
      </c>
      <c r="K48" s="55">
        <f t="shared" si="2"/>
        <v>20.144612525976211</v>
      </c>
      <c r="M48" s="44" t="str">
        <f t="shared" si="3"/>
        <v>n.a.</v>
      </c>
      <c r="N48" s="44" t="str">
        <f t="shared" si="4"/>
        <v>n.a.</v>
      </c>
      <c r="O48" s="44" t="str">
        <f t="shared" si="5"/>
        <v>n.a.</v>
      </c>
    </row>
    <row r="49" spans="2:15" x14ac:dyDescent="0.15">
      <c r="B49" s="37" t="s">
        <v>759</v>
      </c>
      <c r="C49" s="42">
        <f>IFERROR(GETPIVOTDATA("Sum of "&amp;C$4,Pivot!$A$3,"Manufacturer",$B49),0)</f>
        <v>1.1900000000000001E-2</v>
      </c>
      <c r="D49" s="42">
        <f>IFERROR(GETPIVOTDATA("Sum of "&amp;D$4,Pivot!$A$3,"Manufacturer",$B49),0)</f>
        <v>0.14000000000000001</v>
      </c>
      <c r="E49" s="55">
        <f t="shared" si="0"/>
        <v>84.999999999999986</v>
      </c>
      <c r="F49" s="42">
        <f>IFERROR(GETPIVOTDATA("Sum of "&amp;F$4,Pivot!$A$3,"Manufacturer",$B49),0)</f>
        <v>0</v>
      </c>
      <c r="G49" s="42">
        <f>IFERROR(GETPIVOTDATA("Sum of "&amp;G$4,Pivot!$A$3,"Manufacturer",$B49),0)</f>
        <v>0</v>
      </c>
      <c r="H49" s="55" t="str">
        <f t="shared" si="1"/>
        <v>n.a.</v>
      </c>
      <c r="I49" s="42">
        <f>IFERROR(GETPIVOTDATA("Sum of "&amp;I$4,Pivot!$A$3,"Manufacturer",$B49),0)</f>
        <v>0</v>
      </c>
      <c r="J49" s="42">
        <f>IFERROR(GETPIVOTDATA("Sum of "&amp;J$4,Pivot!$A$3,"Manufacturer",$B49),0)</f>
        <v>0</v>
      </c>
      <c r="K49" s="55" t="str">
        <f t="shared" si="2"/>
        <v>n.a.</v>
      </c>
      <c r="M49" s="44">
        <f t="shared" si="3"/>
        <v>-1</v>
      </c>
      <c r="N49" s="44">
        <f t="shared" si="4"/>
        <v>-1</v>
      </c>
      <c r="O49" s="44" t="str">
        <f t="shared" si="5"/>
        <v>n.a.</v>
      </c>
    </row>
    <row r="50" spans="2:15" x14ac:dyDescent="0.15">
      <c r="B50" s="37" t="s">
        <v>760</v>
      </c>
      <c r="C50" s="42">
        <f>IFERROR(GETPIVOTDATA("Sum of "&amp;C$4,Pivot!$A$3,"Manufacturer",$B50),0)</f>
        <v>0.33289999999999997</v>
      </c>
      <c r="D50" s="42">
        <f>IFERROR(GETPIVOTDATA("Sum of "&amp;D$4,Pivot!$A$3,"Manufacturer",$B50),0)</f>
        <v>16.585699999999999</v>
      </c>
      <c r="E50" s="55">
        <f t="shared" si="0"/>
        <v>20.071507382865963</v>
      </c>
      <c r="F50" s="42">
        <f>IFERROR(GETPIVOTDATA("Sum of "&amp;F$4,Pivot!$A$3,"Manufacturer",$B50),0)</f>
        <v>2.7199999999999998E-2</v>
      </c>
      <c r="G50" s="42">
        <f>IFERROR(GETPIVOTDATA("Sum of "&amp;G$4,Pivot!$A$3,"Manufacturer",$B50),0)</f>
        <v>2.2242999999999999</v>
      </c>
      <c r="H50" s="55">
        <f t="shared" si="1"/>
        <v>12.228566290518364</v>
      </c>
      <c r="I50" s="42">
        <f>IFERROR(GETPIVOTDATA("Sum of "&amp;I$4,Pivot!$A$3,"Manufacturer",$B50),0)</f>
        <v>1.4401999999999999</v>
      </c>
      <c r="J50" s="42">
        <f>IFERROR(GETPIVOTDATA("Sum of "&amp;J$4,Pivot!$A$3,"Manufacturer",$B50),0)</f>
        <v>35.560600000000001</v>
      </c>
      <c r="K50" s="55">
        <f t="shared" si="2"/>
        <v>40.499879079655571</v>
      </c>
      <c r="M50" s="44">
        <f t="shared" si="3"/>
        <v>-0.91829378191649147</v>
      </c>
      <c r="N50" s="44">
        <f t="shared" si="4"/>
        <v>-0.86589049602971235</v>
      </c>
      <c r="O50" s="44">
        <f t="shared" si="5"/>
        <v>-0.39074997919900745</v>
      </c>
    </row>
    <row r="51" spans="2:15" x14ac:dyDescent="0.15">
      <c r="B51" s="37" t="s">
        <v>761</v>
      </c>
      <c r="C51" s="42">
        <f>IFERROR(GETPIVOTDATA("Sum of "&amp;C$4,Pivot!$A$3,"Manufacturer",$B51),0)</f>
        <v>41.451899999999995</v>
      </c>
      <c r="D51" s="42">
        <f>IFERROR(GETPIVOTDATA("Sum of "&amp;D$4,Pivot!$A$3,"Manufacturer",$B51),0)</f>
        <v>1547.7049999999999</v>
      </c>
      <c r="E51" s="55">
        <f t="shared" si="0"/>
        <v>26.782817138925054</v>
      </c>
      <c r="F51" s="42">
        <f>IFERROR(GETPIVOTDATA("Sum of "&amp;F$4,Pivot!$A$3,"Manufacturer",$B51),0)</f>
        <v>23.849699999999999</v>
      </c>
      <c r="G51" s="42">
        <f>IFERROR(GETPIVOTDATA("Sum of "&amp;G$4,Pivot!$A$3,"Manufacturer",$B51),0)</f>
        <v>1096.4468000000002</v>
      </c>
      <c r="H51" s="55">
        <f t="shared" si="1"/>
        <v>21.751807748447071</v>
      </c>
      <c r="I51" s="42">
        <f>IFERROR(GETPIVOTDATA("Sum of "&amp;I$4,Pivot!$A$3,"Manufacturer",$B51),0)</f>
        <v>14.791499999999999</v>
      </c>
      <c r="J51" s="42">
        <f>IFERROR(GETPIVOTDATA("Sum of "&amp;J$4,Pivot!$A$3,"Manufacturer",$B51),0)</f>
        <v>817.30310000000009</v>
      </c>
      <c r="K51" s="55">
        <f t="shared" si="2"/>
        <v>18.097936983231801</v>
      </c>
      <c r="M51" s="44">
        <f t="shared" si="3"/>
        <v>-0.42464157252140433</v>
      </c>
      <c r="N51" s="44">
        <f t="shared" si="4"/>
        <v>-0.29156602840980661</v>
      </c>
      <c r="O51" s="44">
        <f t="shared" si="5"/>
        <v>-0.18784466788469834</v>
      </c>
    </row>
    <row r="52" spans="2:15" x14ac:dyDescent="0.15">
      <c r="B52" s="37" t="s">
        <v>762</v>
      </c>
      <c r="C52" s="42">
        <f>IFERROR(GETPIVOTDATA("Sum of "&amp;C$4,Pivot!$A$3,"Manufacturer",$B52),0)</f>
        <v>168.57929999999996</v>
      </c>
      <c r="D52" s="42">
        <f>IFERROR(GETPIVOTDATA("Sum of "&amp;D$4,Pivot!$A$3,"Manufacturer",$B52),0)</f>
        <v>4051.7896999999994</v>
      </c>
      <c r="E52" s="55">
        <f t="shared" si="0"/>
        <v>41.606132717105233</v>
      </c>
      <c r="F52" s="42">
        <f>IFERROR(GETPIVOTDATA("Sum of "&amp;F$4,Pivot!$A$3,"Manufacturer",$B52),0)</f>
        <v>187.82539999999997</v>
      </c>
      <c r="G52" s="42">
        <f>IFERROR(GETPIVOTDATA("Sum of "&amp;G$4,Pivot!$A$3,"Manufacturer",$B52),0)</f>
        <v>4420.8852000000006</v>
      </c>
      <c r="H52" s="55">
        <f t="shared" si="1"/>
        <v>42.485925669365933</v>
      </c>
      <c r="I52" s="42">
        <f>IFERROR(GETPIVOTDATA("Sum of "&amp;I$4,Pivot!$A$3,"Manufacturer",$B52),0)</f>
        <v>100.92089999999999</v>
      </c>
      <c r="J52" s="42">
        <f>IFERROR(GETPIVOTDATA("Sum of "&amp;J$4,Pivot!$A$3,"Manufacturer",$B52),0)</f>
        <v>2421.1072999999997</v>
      </c>
      <c r="K52" s="55">
        <f t="shared" si="2"/>
        <v>41.683778327379379</v>
      </c>
      <c r="M52" s="44">
        <f t="shared" si="3"/>
        <v>0.11416644866837156</v>
      </c>
      <c r="N52" s="44">
        <f t="shared" si="4"/>
        <v>9.1094436614022944E-2</v>
      </c>
      <c r="O52" s="44">
        <f t="shared" si="5"/>
        <v>2.1145751715083039E-2</v>
      </c>
    </row>
    <row r="53" spans="2:15" x14ac:dyDescent="0.15">
      <c r="B53" s="37" t="s">
        <v>763</v>
      </c>
      <c r="C53" s="42">
        <f>IFERROR(GETPIVOTDATA("Sum of "&amp;C$4,Pivot!$A$3,"Manufacturer",$B53),0)</f>
        <v>6.1032999999999999</v>
      </c>
      <c r="D53" s="42">
        <f>IFERROR(GETPIVOTDATA("Sum of "&amp;D$4,Pivot!$A$3,"Manufacturer",$B53),0)</f>
        <v>422.25490000000002</v>
      </c>
      <c r="E53" s="55">
        <f t="shared" si="0"/>
        <v>14.454065541927399</v>
      </c>
      <c r="F53" s="42">
        <f>IFERROR(GETPIVOTDATA("Sum of "&amp;F$4,Pivot!$A$3,"Manufacturer",$B53),0)</f>
        <v>8.2299999999999998E-2</v>
      </c>
      <c r="G53" s="42">
        <f>IFERROR(GETPIVOTDATA("Sum of "&amp;G$4,Pivot!$A$3,"Manufacturer",$B53),0)</f>
        <v>3.4649000000000001</v>
      </c>
      <c r="H53" s="55">
        <f t="shared" si="1"/>
        <v>23.752489249328981</v>
      </c>
      <c r="I53" s="42">
        <f>IFERROR(GETPIVOTDATA("Sum of "&amp;I$4,Pivot!$A$3,"Manufacturer",$B53),0)</f>
        <v>0</v>
      </c>
      <c r="J53" s="42">
        <f>IFERROR(GETPIVOTDATA("Sum of "&amp;J$4,Pivot!$A$3,"Manufacturer",$B53),0)</f>
        <v>0</v>
      </c>
      <c r="K53" s="55" t="str">
        <f t="shared" si="2"/>
        <v>n.a.</v>
      </c>
      <c r="M53" s="44">
        <f t="shared" si="3"/>
        <v>-0.98651549161928798</v>
      </c>
      <c r="N53" s="44">
        <f t="shared" si="4"/>
        <v>-0.99179429297327282</v>
      </c>
      <c r="O53" s="44">
        <f t="shared" si="5"/>
        <v>0.64330853353538009</v>
      </c>
    </row>
    <row r="54" spans="2:15" x14ac:dyDescent="0.15">
      <c r="B54" s="37" t="s">
        <v>764</v>
      </c>
      <c r="C54" s="42">
        <f>IFERROR(GETPIVOTDATA("Sum of "&amp;C$4,Pivot!$A$3,"Manufacturer",$B54),0)</f>
        <v>11.181699999999999</v>
      </c>
      <c r="D54" s="42">
        <f>IFERROR(GETPIVOTDATA("Sum of "&amp;D$4,Pivot!$A$3,"Manufacturer",$B54),0)</f>
        <v>586.38080000000002</v>
      </c>
      <c r="E54" s="55">
        <f t="shared" si="0"/>
        <v>19.069007716487306</v>
      </c>
      <c r="F54" s="42">
        <f>IFERROR(GETPIVOTDATA("Sum of "&amp;F$4,Pivot!$A$3,"Manufacturer",$B54),0)</f>
        <v>15.1816</v>
      </c>
      <c r="G54" s="42">
        <f>IFERROR(GETPIVOTDATA("Sum of "&amp;G$4,Pivot!$A$3,"Manufacturer",$B54),0)</f>
        <v>752.94479999999999</v>
      </c>
      <c r="H54" s="55">
        <f t="shared" si="1"/>
        <v>20.162965465728696</v>
      </c>
      <c r="I54" s="42">
        <f>IFERROR(GETPIVOTDATA("Sum of "&amp;I$4,Pivot!$A$3,"Manufacturer",$B54),0)</f>
        <v>9.6165000000000003</v>
      </c>
      <c r="J54" s="42">
        <f>IFERROR(GETPIVOTDATA("Sum of "&amp;J$4,Pivot!$A$3,"Manufacturer",$B54),0)</f>
        <v>438.76389999999998</v>
      </c>
      <c r="K54" s="55">
        <f t="shared" si="2"/>
        <v>21.917254359349073</v>
      </c>
      <c r="M54" s="44">
        <f t="shared" si="3"/>
        <v>0.35771841491007628</v>
      </c>
      <c r="N54" s="44">
        <f t="shared" si="4"/>
        <v>0.28405432101460337</v>
      </c>
      <c r="O54" s="44">
        <f t="shared" si="5"/>
        <v>5.7368362607328471E-2</v>
      </c>
    </row>
    <row r="55" spans="2:15" x14ac:dyDescent="0.15">
      <c r="B55" s="37" t="s">
        <v>765</v>
      </c>
      <c r="C55" s="42">
        <f>IFERROR(GETPIVOTDATA("Sum of "&amp;C$4,Pivot!$A$3,"Manufacturer",$B55),0)</f>
        <v>20.5806</v>
      </c>
      <c r="D55" s="42">
        <f>IFERROR(GETPIVOTDATA("Sum of "&amp;D$4,Pivot!$A$3,"Manufacturer",$B55),0)</f>
        <v>116.04810000000001</v>
      </c>
      <c r="E55" s="55">
        <f t="shared" si="0"/>
        <v>177.34542831808534</v>
      </c>
      <c r="F55" s="42">
        <f>IFERROR(GETPIVOTDATA("Sum of "&amp;F$4,Pivot!$A$3,"Manufacturer",$B55),0)</f>
        <v>16.885899999999999</v>
      </c>
      <c r="G55" s="42">
        <f>IFERROR(GETPIVOTDATA("Sum of "&amp;G$4,Pivot!$A$3,"Manufacturer",$B55),0)</f>
        <v>107.194</v>
      </c>
      <c r="H55" s="55">
        <f t="shared" si="1"/>
        <v>157.52654066458942</v>
      </c>
      <c r="I55" s="42">
        <f>IFERROR(GETPIVOTDATA("Sum of "&amp;I$4,Pivot!$A$3,"Manufacturer",$B55),0)</f>
        <v>8.2624999999999993</v>
      </c>
      <c r="J55" s="42">
        <f>IFERROR(GETPIVOTDATA("Sum of "&amp;J$4,Pivot!$A$3,"Manufacturer",$B55),0)</f>
        <v>44.347099999999998</v>
      </c>
      <c r="K55" s="55">
        <f t="shared" si="2"/>
        <v>186.31432495022221</v>
      </c>
      <c r="M55" s="44">
        <f t="shared" si="3"/>
        <v>-0.17952343469092258</v>
      </c>
      <c r="N55" s="44">
        <f t="shared" si="4"/>
        <v>-7.6296811408372966E-2</v>
      </c>
      <c r="O55" s="44">
        <f t="shared" si="5"/>
        <v>-0.1117530225698794</v>
      </c>
    </row>
    <row r="56" spans="2:15" x14ac:dyDescent="0.15">
      <c r="B56" s="37" t="s">
        <v>766</v>
      </c>
      <c r="C56" s="42">
        <f>IFERROR(GETPIVOTDATA("Sum of "&amp;C$4,Pivot!$A$3,"Manufacturer",$B56),0)</f>
        <v>7.0000000000000001E-3</v>
      </c>
      <c r="D56" s="42">
        <f>IFERROR(GETPIVOTDATA("Sum of "&amp;D$4,Pivot!$A$3,"Manufacturer",$B56),0)</f>
        <v>0.08</v>
      </c>
      <c r="E56" s="55">
        <f t="shared" si="0"/>
        <v>87.5</v>
      </c>
      <c r="F56" s="42">
        <f>IFERROR(GETPIVOTDATA("Sum of "&amp;F$4,Pivot!$A$3,"Manufacturer",$B56),0)</f>
        <v>0</v>
      </c>
      <c r="G56" s="42">
        <f>IFERROR(GETPIVOTDATA("Sum of "&amp;G$4,Pivot!$A$3,"Manufacturer",$B56),0)</f>
        <v>0</v>
      </c>
      <c r="H56" s="55" t="str">
        <f t="shared" si="1"/>
        <v>n.a.</v>
      </c>
      <c r="I56" s="42">
        <f>IFERROR(GETPIVOTDATA("Sum of "&amp;I$4,Pivot!$A$3,"Manufacturer",$B56),0)</f>
        <v>0</v>
      </c>
      <c r="J56" s="42">
        <f>IFERROR(GETPIVOTDATA("Sum of "&amp;J$4,Pivot!$A$3,"Manufacturer",$B56),0)</f>
        <v>0</v>
      </c>
      <c r="K56" s="55" t="str">
        <f t="shared" si="2"/>
        <v>n.a.</v>
      </c>
      <c r="M56" s="44">
        <f t="shared" si="3"/>
        <v>-1</v>
      </c>
      <c r="N56" s="44">
        <f t="shared" si="4"/>
        <v>-1</v>
      </c>
      <c r="O56" s="44" t="str">
        <f t="shared" si="5"/>
        <v>n.a.</v>
      </c>
    </row>
    <row r="57" spans="2:15" x14ac:dyDescent="0.15">
      <c r="B57" s="37" t="s">
        <v>767</v>
      </c>
      <c r="C57" s="42">
        <f>IFERROR(GETPIVOTDATA("Sum of "&amp;C$4,Pivot!$A$3,"Manufacturer",$B57),0)</f>
        <v>394.68370000000004</v>
      </c>
      <c r="D57" s="42">
        <f>IFERROR(GETPIVOTDATA("Sum of "&amp;D$4,Pivot!$A$3,"Manufacturer",$B57),0)</f>
        <v>18974.913400000005</v>
      </c>
      <c r="E57" s="55">
        <f t="shared" si="0"/>
        <v>20.800289923852823</v>
      </c>
      <c r="F57" s="42">
        <f>IFERROR(GETPIVOTDATA("Sum of "&amp;F$4,Pivot!$A$3,"Manufacturer",$B57),0)</f>
        <v>409.49670000000009</v>
      </c>
      <c r="G57" s="42">
        <f>IFERROR(GETPIVOTDATA("Sum of "&amp;G$4,Pivot!$A$3,"Manufacturer",$B57),0)</f>
        <v>19732.122499999998</v>
      </c>
      <c r="H57" s="55">
        <f t="shared" si="1"/>
        <v>20.752795346775297</v>
      </c>
      <c r="I57" s="42">
        <f>IFERROR(GETPIVOTDATA("Sum of "&amp;I$4,Pivot!$A$3,"Manufacturer",$B57),0)</f>
        <v>321.26349999999996</v>
      </c>
      <c r="J57" s="42">
        <f>IFERROR(GETPIVOTDATA("Sum of "&amp;J$4,Pivot!$A$3,"Manufacturer",$B57),0)</f>
        <v>15809.170200000002</v>
      </c>
      <c r="K57" s="55">
        <f t="shared" si="2"/>
        <v>20.321338560830974</v>
      </c>
      <c r="M57" s="44">
        <f t="shared" si="3"/>
        <v>3.7531319383090844E-2</v>
      </c>
      <c r="N57" s="44">
        <f t="shared" si="4"/>
        <v>3.9905800044388817E-2</v>
      </c>
      <c r="O57" s="44">
        <f t="shared" si="5"/>
        <v>-2.2833613017605447E-3</v>
      </c>
    </row>
    <row r="58" spans="2:15" x14ac:dyDescent="0.15">
      <c r="B58" s="37" t="s">
        <v>768</v>
      </c>
      <c r="C58" s="42">
        <f>IFERROR(GETPIVOTDATA("Sum of "&amp;C$4,Pivot!$A$3,"Manufacturer",$B58),0)</f>
        <v>0.17230000000000001</v>
      </c>
      <c r="D58" s="42">
        <f>IFERROR(GETPIVOTDATA("Sum of "&amp;D$4,Pivot!$A$3,"Manufacturer",$B58),0)</f>
        <v>7.7868000000000004</v>
      </c>
      <c r="E58" s="55">
        <f t="shared" si="0"/>
        <v>22.12718960291776</v>
      </c>
      <c r="F58" s="42">
        <f>IFERROR(GETPIVOTDATA("Sum of "&amp;F$4,Pivot!$A$3,"Manufacturer",$B58),0)</f>
        <v>0.6331</v>
      </c>
      <c r="G58" s="42">
        <f>IFERROR(GETPIVOTDATA("Sum of "&amp;G$4,Pivot!$A$3,"Manufacturer",$B58),0)</f>
        <v>27.705500000000001</v>
      </c>
      <c r="H58" s="55">
        <f t="shared" si="1"/>
        <v>22.851058454097561</v>
      </c>
      <c r="I58" s="42">
        <f>IFERROR(GETPIVOTDATA("Sum of "&amp;I$4,Pivot!$A$3,"Manufacturer",$B58),0)</f>
        <v>0.15670000000000001</v>
      </c>
      <c r="J58" s="42">
        <f>IFERROR(GETPIVOTDATA("Sum of "&amp;J$4,Pivot!$A$3,"Manufacturer",$B58),0)</f>
        <v>6.8449999999999998</v>
      </c>
      <c r="K58" s="55">
        <f t="shared" si="2"/>
        <v>22.892622352081812</v>
      </c>
      <c r="M58" s="44">
        <f t="shared" si="3"/>
        <v>2.6744051073708643</v>
      </c>
      <c r="N58" s="44">
        <f t="shared" si="4"/>
        <v>2.5580084245132788</v>
      </c>
      <c r="O58" s="44">
        <f t="shared" si="5"/>
        <v>3.2713998667248223E-2</v>
      </c>
    </row>
    <row r="59" spans="2:15" x14ac:dyDescent="0.15">
      <c r="B59" s="37" t="s">
        <v>769</v>
      </c>
      <c r="C59" s="42">
        <f>IFERROR(GETPIVOTDATA("Sum of "&amp;C$4,Pivot!$A$3,"Manufacturer",$B59),0)</f>
        <v>23.7456</v>
      </c>
      <c r="D59" s="42">
        <f>IFERROR(GETPIVOTDATA("Sum of "&amp;D$4,Pivot!$A$3,"Manufacturer",$B59),0)</f>
        <v>713.0412</v>
      </c>
      <c r="E59" s="55">
        <f t="shared" si="0"/>
        <v>33.301862501072868</v>
      </c>
      <c r="F59" s="42">
        <f>IFERROR(GETPIVOTDATA("Sum of "&amp;F$4,Pivot!$A$3,"Manufacturer",$B59),0)</f>
        <v>29.356499999999997</v>
      </c>
      <c r="G59" s="42">
        <f>IFERROR(GETPIVOTDATA("Sum of "&amp;G$4,Pivot!$A$3,"Manufacturer",$B59),0)</f>
        <v>960.05749999999989</v>
      </c>
      <c r="H59" s="55">
        <f t="shared" si="1"/>
        <v>30.577856013832506</v>
      </c>
      <c r="I59" s="42">
        <f>IFERROR(GETPIVOTDATA("Sum of "&amp;I$4,Pivot!$A$3,"Manufacturer",$B59),0)</f>
        <v>11.906700000000001</v>
      </c>
      <c r="J59" s="42">
        <f>IFERROR(GETPIVOTDATA("Sum of "&amp;J$4,Pivot!$A$3,"Manufacturer",$B59),0)</f>
        <v>372.1223</v>
      </c>
      <c r="K59" s="55">
        <f t="shared" si="2"/>
        <v>31.996738706602642</v>
      </c>
      <c r="M59" s="44">
        <f t="shared" si="3"/>
        <v>0.23629219729128748</v>
      </c>
      <c r="N59" s="44">
        <f t="shared" si="4"/>
        <v>0.34642640565510074</v>
      </c>
      <c r="O59" s="44">
        <f t="shared" si="5"/>
        <v>-8.1797421605251164E-2</v>
      </c>
    </row>
    <row r="60" spans="2:15" x14ac:dyDescent="0.15">
      <c r="B60" s="37" t="s">
        <v>770</v>
      </c>
      <c r="C60" s="42">
        <f>IFERROR(GETPIVOTDATA("Sum of "&amp;C$4,Pivot!$A$3,"Manufacturer",$B60),0)</f>
        <v>0.13550000000000001</v>
      </c>
      <c r="D60" s="42">
        <f>IFERROR(GETPIVOTDATA("Sum of "&amp;D$4,Pivot!$A$3,"Manufacturer",$B60),0)</f>
        <v>3.2519</v>
      </c>
      <c r="E60" s="55">
        <f t="shared" si="0"/>
        <v>41.667947968879737</v>
      </c>
      <c r="F60" s="42">
        <f>IFERROR(GETPIVOTDATA("Sum of "&amp;F$4,Pivot!$A$3,"Manufacturer",$B60),0)</f>
        <v>0</v>
      </c>
      <c r="G60" s="42">
        <f>IFERROR(GETPIVOTDATA("Sum of "&amp;G$4,Pivot!$A$3,"Manufacturer",$B60),0)</f>
        <v>0</v>
      </c>
      <c r="H60" s="55" t="str">
        <f t="shared" si="1"/>
        <v>n.a.</v>
      </c>
      <c r="I60" s="42">
        <f>IFERROR(GETPIVOTDATA("Sum of "&amp;I$4,Pivot!$A$3,"Manufacturer",$B60),0)</f>
        <v>0</v>
      </c>
      <c r="J60" s="42">
        <f>IFERROR(GETPIVOTDATA("Sum of "&amp;J$4,Pivot!$A$3,"Manufacturer",$B60),0)</f>
        <v>0</v>
      </c>
      <c r="K60" s="55" t="str">
        <f t="shared" si="2"/>
        <v>n.a.</v>
      </c>
      <c r="M60" s="44">
        <f t="shared" si="3"/>
        <v>-1</v>
      </c>
      <c r="N60" s="44">
        <f t="shared" si="4"/>
        <v>-1</v>
      </c>
      <c r="O60" s="44" t="str">
        <f t="shared" si="5"/>
        <v>n.a.</v>
      </c>
    </row>
    <row r="61" spans="2:15" x14ac:dyDescent="0.15">
      <c r="B61" s="37" t="s">
        <v>771</v>
      </c>
      <c r="C61" s="42">
        <f>IFERROR(GETPIVOTDATA("Sum of "&amp;C$4,Pivot!$A$3,"Manufacturer",$B61),0)</f>
        <v>336.51569999999992</v>
      </c>
      <c r="D61" s="42">
        <f>IFERROR(GETPIVOTDATA("Sum of "&amp;D$4,Pivot!$A$3,"Manufacturer",$B61),0)</f>
        <v>10226.7706</v>
      </c>
      <c r="E61" s="55">
        <f t="shared" si="0"/>
        <v>32.905372884769697</v>
      </c>
      <c r="F61" s="42">
        <f>IFERROR(GETPIVOTDATA("Sum of "&amp;F$4,Pivot!$A$3,"Manufacturer",$B61),0)</f>
        <v>318.62270000000001</v>
      </c>
      <c r="G61" s="42">
        <f>IFERROR(GETPIVOTDATA("Sum of "&amp;G$4,Pivot!$A$3,"Manufacturer",$B61),0)</f>
        <v>9928.9133000000002</v>
      </c>
      <c r="H61" s="55">
        <f t="shared" si="1"/>
        <v>32.0903899926289</v>
      </c>
      <c r="I61" s="42">
        <f>IFERROR(GETPIVOTDATA("Sum of "&amp;I$4,Pivot!$A$3,"Manufacturer",$B61),0)</f>
        <v>125.76550000000002</v>
      </c>
      <c r="J61" s="42">
        <f>IFERROR(GETPIVOTDATA("Sum of "&amp;J$4,Pivot!$A$3,"Manufacturer",$B61),0)</f>
        <v>3640.5187000000001</v>
      </c>
      <c r="K61" s="55">
        <f t="shared" si="2"/>
        <v>34.546038727942815</v>
      </c>
      <c r="M61" s="44">
        <f t="shared" si="3"/>
        <v>-5.3171367636041689E-2</v>
      </c>
      <c r="N61" s="44">
        <f t="shared" si="4"/>
        <v>-2.9125254848289983E-2</v>
      </c>
      <c r="O61" s="44">
        <f t="shared" si="5"/>
        <v>-2.4767471713350919E-2</v>
      </c>
    </row>
    <row r="62" spans="2:15" x14ac:dyDescent="0.15">
      <c r="B62" s="37" t="s">
        <v>773</v>
      </c>
      <c r="C62" s="42">
        <f>IFERROR(GETPIVOTDATA("Sum of "&amp;C$4,Pivot!$A$3,"Manufacturer",$B62),0)</f>
        <v>0</v>
      </c>
      <c r="D62" s="42">
        <f>IFERROR(GETPIVOTDATA("Sum of "&amp;D$4,Pivot!$A$3,"Manufacturer",$B62),0)</f>
        <v>0</v>
      </c>
      <c r="E62" s="55" t="str">
        <f t="shared" si="0"/>
        <v>n.a.</v>
      </c>
      <c r="F62" s="42">
        <f>IFERROR(GETPIVOTDATA("Sum of "&amp;F$4,Pivot!$A$3,"Manufacturer",$B62),0)</f>
        <v>6.2138</v>
      </c>
      <c r="G62" s="42">
        <f>IFERROR(GETPIVOTDATA("Sum of "&amp;G$4,Pivot!$A$3,"Manufacturer",$B62),0)</f>
        <v>384.83499999999998</v>
      </c>
      <c r="H62" s="55">
        <f t="shared" si="1"/>
        <v>16.146660256993258</v>
      </c>
      <c r="I62" s="42">
        <f>IFERROR(GETPIVOTDATA("Sum of "&amp;I$4,Pivot!$A$3,"Manufacturer",$B62),0)</f>
        <v>8.77E-2</v>
      </c>
      <c r="J62" s="42">
        <f>IFERROR(GETPIVOTDATA("Sum of "&amp;J$4,Pivot!$A$3,"Manufacturer",$B62),0)</f>
        <v>5.7408999999999999</v>
      </c>
      <c r="K62" s="55">
        <f t="shared" si="2"/>
        <v>15.276350398021217</v>
      </c>
      <c r="M62" s="44" t="str">
        <f t="shared" si="3"/>
        <v>n.a.</v>
      </c>
      <c r="N62" s="44" t="str">
        <f t="shared" si="4"/>
        <v>n.a.</v>
      </c>
      <c r="O62" s="44" t="str">
        <f t="shared" si="5"/>
        <v>n.a.</v>
      </c>
    </row>
    <row r="63" spans="2:15" x14ac:dyDescent="0.15">
      <c r="B63" s="37" t="s">
        <v>774</v>
      </c>
      <c r="C63" s="42">
        <f>IFERROR(GETPIVOTDATA("Sum of "&amp;C$4,Pivot!$A$3,"Manufacturer",$B63),0)</f>
        <v>62.723399999999998</v>
      </c>
      <c r="D63" s="42">
        <f>IFERROR(GETPIVOTDATA("Sum of "&amp;D$4,Pivot!$A$3,"Manufacturer",$B63),0)</f>
        <v>4142.5167000000001</v>
      </c>
      <c r="E63" s="55">
        <f t="shared" si="0"/>
        <v>15.141375290050126</v>
      </c>
      <c r="F63" s="42">
        <f>IFERROR(GETPIVOTDATA("Sum of "&amp;F$4,Pivot!$A$3,"Manufacturer",$B63),0)</f>
        <v>72.770799999999994</v>
      </c>
      <c r="G63" s="42">
        <f>IFERROR(GETPIVOTDATA("Sum of "&amp;G$4,Pivot!$A$3,"Manufacturer",$B63),0)</f>
        <v>3738.1193999999996</v>
      </c>
      <c r="H63" s="55">
        <f t="shared" si="1"/>
        <v>19.467221940529775</v>
      </c>
      <c r="I63" s="42">
        <f>IFERROR(GETPIVOTDATA("Sum of "&amp;I$4,Pivot!$A$3,"Manufacturer",$B63),0)</f>
        <v>17.9863</v>
      </c>
      <c r="J63" s="42">
        <f>IFERROR(GETPIVOTDATA("Sum of "&amp;J$4,Pivot!$A$3,"Manufacturer",$B63),0)</f>
        <v>966.62200000000007</v>
      </c>
      <c r="K63" s="55">
        <f t="shared" si="2"/>
        <v>18.607377030524859</v>
      </c>
      <c r="M63" s="44">
        <f t="shared" si="3"/>
        <v>0.16018583176294654</v>
      </c>
      <c r="N63" s="44">
        <f t="shared" si="4"/>
        <v>-9.7621163482575879E-2</v>
      </c>
      <c r="O63" s="44">
        <f t="shared" si="5"/>
        <v>0.28569707623073715</v>
      </c>
    </row>
    <row r="64" spans="2:15" x14ac:dyDescent="0.15">
      <c r="B64" s="37" t="s">
        <v>775</v>
      </c>
      <c r="C64" s="42">
        <f>IFERROR(GETPIVOTDATA("Sum of "&amp;C$4,Pivot!$A$3,"Manufacturer",$B64),0)</f>
        <v>27.204999999999998</v>
      </c>
      <c r="D64" s="42">
        <f>IFERROR(GETPIVOTDATA("Sum of "&amp;D$4,Pivot!$A$3,"Manufacturer",$B64),0)</f>
        <v>1705.1169</v>
      </c>
      <c r="E64" s="55">
        <f t="shared" si="0"/>
        <v>15.954917812379902</v>
      </c>
      <c r="F64" s="42">
        <f>IFERROR(GETPIVOTDATA("Sum of "&amp;F$4,Pivot!$A$3,"Manufacturer",$B64),0)</f>
        <v>84.962299999999999</v>
      </c>
      <c r="G64" s="42">
        <f>IFERROR(GETPIVOTDATA("Sum of "&amp;G$4,Pivot!$A$3,"Manufacturer",$B64),0)</f>
        <v>4625.1880000000001</v>
      </c>
      <c r="H64" s="55">
        <f t="shared" si="1"/>
        <v>18.369480332475135</v>
      </c>
      <c r="I64" s="42">
        <f>IFERROR(GETPIVOTDATA("Sum of "&amp;I$4,Pivot!$A$3,"Manufacturer",$B64),0)</f>
        <v>67.934899999999999</v>
      </c>
      <c r="J64" s="42">
        <f>IFERROR(GETPIVOTDATA("Sum of "&amp;J$4,Pivot!$A$3,"Manufacturer",$B64),0)</f>
        <v>3467.3734000000004</v>
      </c>
      <c r="K64" s="55">
        <f t="shared" si="2"/>
        <v>19.592611513948857</v>
      </c>
      <c r="M64" s="44">
        <f t="shared" si="3"/>
        <v>2.1230398823745635</v>
      </c>
      <c r="N64" s="44">
        <f t="shared" si="4"/>
        <v>1.7125342549827525</v>
      </c>
      <c r="O64" s="44">
        <f t="shared" si="5"/>
        <v>0.15133656898073777</v>
      </c>
    </row>
    <row r="65" spans="2:15" x14ac:dyDescent="0.15">
      <c r="B65" s="37" t="s">
        <v>776</v>
      </c>
      <c r="C65" s="42">
        <f>IFERROR(GETPIVOTDATA("Sum of "&amp;C$4,Pivot!$A$3,"Manufacturer",$B65),0)</f>
        <v>0.31309999999999999</v>
      </c>
      <c r="D65" s="42">
        <f>IFERROR(GETPIVOTDATA("Sum of "&amp;D$4,Pivot!$A$3,"Manufacturer",$B65),0)</f>
        <v>2.3519999999999999</v>
      </c>
      <c r="E65" s="55">
        <f t="shared" si="0"/>
        <v>133.12074829931973</v>
      </c>
      <c r="F65" s="42">
        <f>IFERROR(GETPIVOTDATA("Sum of "&amp;F$4,Pivot!$A$3,"Manufacturer",$B65),0)</f>
        <v>4.0300000000000002E-2</v>
      </c>
      <c r="G65" s="42">
        <f>IFERROR(GETPIVOTDATA("Sum of "&amp;G$4,Pivot!$A$3,"Manufacturer",$B65),0)</f>
        <v>0.30399999999999999</v>
      </c>
      <c r="H65" s="55">
        <f t="shared" si="1"/>
        <v>132.56578947368422</v>
      </c>
      <c r="I65" s="42">
        <f>IFERROR(GETPIVOTDATA("Sum of "&amp;I$4,Pivot!$A$3,"Manufacturer",$B65),0)</f>
        <v>0</v>
      </c>
      <c r="J65" s="42">
        <f>IFERROR(GETPIVOTDATA("Sum of "&amp;J$4,Pivot!$A$3,"Manufacturer",$B65),0)</f>
        <v>0</v>
      </c>
      <c r="K65" s="55" t="str">
        <f t="shared" si="2"/>
        <v>n.a.</v>
      </c>
      <c r="M65" s="44">
        <f t="shared" si="3"/>
        <v>-0.87128712871287128</v>
      </c>
      <c r="N65" s="44">
        <f t="shared" si="4"/>
        <v>-0.87074829931972786</v>
      </c>
      <c r="O65" s="44">
        <f t="shared" si="5"/>
        <v>-4.168837936425196E-3</v>
      </c>
    </row>
    <row r="66" spans="2:15" x14ac:dyDescent="0.15">
      <c r="B66" s="37" t="s">
        <v>777</v>
      </c>
      <c r="C66" s="42">
        <f>IFERROR(GETPIVOTDATA("Sum of "&amp;C$4,Pivot!$A$3,"Manufacturer",$B66),0)</f>
        <v>131.4905</v>
      </c>
      <c r="D66" s="42">
        <f>IFERROR(GETPIVOTDATA("Sum of "&amp;D$4,Pivot!$A$3,"Manufacturer",$B66),0)</f>
        <v>7528.2013999999999</v>
      </c>
      <c r="E66" s="55">
        <f t="shared" si="0"/>
        <v>17.466389780698481</v>
      </c>
      <c r="F66" s="42">
        <f>IFERROR(GETPIVOTDATA("Sum of "&amp;F$4,Pivot!$A$3,"Manufacturer",$B66),0)</f>
        <v>246.0711</v>
      </c>
      <c r="G66" s="42">
        <f>IFERROR(GETPIVOTDATA("Sum of "&amp;G$4,Pivot!$A$3,"Manufacturer",$B66),0)</f>
        <v>14073.580099999999</v>
      </c>
      <c r="H66" s="55">
        <f t="shared" si="1"/>
        <v>17.484612888230199</v>
      </c>
      <c r="I66" s="42">
        <f>IFERROR(GETPIVOTDATA("Sum of "&amp;I$4,Pivot!$A$3,"Manufacturer",$B66),0)</f>
        <v>78.18180000000001</v>
      </c>
      <c r="J66" s="42">
        <f>IFERROR(GETPIVOTDATA("Sum of "&amp;J$4,Pivot!$A$3,"Manufacturer",$B66),0)</f>
        <v>4344.6673999999994</v>
      </c>
      <c r="K66" s="55">
        <f t="shared" si="2"/>
        <v>17.994887249597063</v>
      </c>
      <c r="M66" s="44">
        <f t="shared" si="3"/>
        <v>0.87139831394663503</v>
      </c>
      <c r="N66" s="44">
        <f t="shared" si="4"/>
        <v>0.86944787369795917</v>
      </c>
      <c r="O66" s="44">
        <f t="shared" si="5"/>
        <v>1.0433242221501438E-3</v>
      </c>
    </row>
    <row r="67" spans="2:15" x14ac:dyDescent="0.15">
      <c r="B67" s="37" t="s">
        <v>778</v>
      </c>
      <c r="C67" s="42">
        <f>IFERROR(GETPIVOTDATA("Sum of "&amp;C$4,Pivot!$A$3,"Manufacturer",$B67),0)</f>
        <v>8.7314000000000007</v>
      </c>
      <c r="D67" s="42">
        <f>IFERROR(GETPIVOTDATA("Sum of "&amp;D$4,Pivot!$A$3,"Manufacturer",$B67),0)</f>
        <v>524.32740000000001</v>
      </c>
      <c r="E67" s="55">
        <f t="shared" si="0"/>
        <v>16.652572419446322</v>
      </c>
      <c r="F67" s="42">
        <f>IFERROR(GETPIVOTDATA("Sum of "&amp;F$4,Pivot!$A$3,"Manufacturer",$B67),0)</f>
        <v>3.2121000000000004</v>
      </c>
      <c r="G67" s="42">
        <f>IFERROR(GETPIVOTDATA("Sum of "&amp;G$4,Pivot!$A$3,"Manufacturer",$B67),0)</f>
        <v>172.9469</v>
      </c>
      <c r="H67" s="55">
        <f t="shared" si="1"/>
        <v>18.572752677266841</v>
      </c>
      <c r="I67" s="42">
        <f>IFERROR(GETPIVOTDATA("Sum of "&amp;I$4,Pivot!$A$3,"Manufacturer",$B67),0)</f>
        <v>0</v>
      </c>
      <c r="J67" s="42">
        <f>IFERROR(GETPIVOTDATA("Sum of "&amp;J$4,Pivot!$A$3,"Manufacturer",$B67),0)</f>
        <v>0</v>
      </c>
      <c r="K67" s="55" t="str">
        <f t="shared" si="2"/>
        <v>n.a.</v>
      </c>
      <c r="M67" s="44">
        <f t="shared" si="3"/>
        <v>-0.63212085118079575</v>
      </c>
      <c r="N67" s="44">
        <f t="shared" si="4"/>
        <v>-0.67015475445303829</v>
      </c>
      <c r="O67" s="44">
        <f t="shared" si="5"/>
        <v>0.11530832651285738</v>
      </c>
    </row>
    <row r="68" spans="2:15" x14ac:dyDescent="0.15">
      <c r="B68" s="37" t="s">
        <v>779</v>
      </c>
      <c r="C68" s="42">
        <f>IFERROR(GETPIVOTDATA("Sum of "&amp;C$4,Pivot!$A$3,"Manufacturer",$B68),0)</f>
        <v>0.15809999999999999</v>
      </c>
      <c r="D68" s="42">
        <f>IFERROR(GETPIVOTDATA("Sum of "&amp;D$4,Pivot!$A$3,"Manufacturer",$B68),0)</f>
        <v>2.1</v>
      </c>
      <c r="E68" s="55">
        <f t="shared" si="0"/>
        <v>75.285714285714278</v>
      </c>
      <c r="F68" s="42">
        <f>IFERROR(GETPIVOTDATA("Sum of "&amp;F$4,Pivot!$A$3,"Manufacturer",$B68),0)</f>
        <v>2E-3</v>
      </c>
      <c r="G68" s="42">
        <f>IFERROR(GETPIVOTDATA("Sum of "&amp;G$4,Pivot!$A$3,"Manufacturer",$B68),0)</f>
        <v>0.02</v>
      </c>
      <c r="H68" s="55">
        <f t="shared" si="1"/>
        <v>100</v>
      </c>
      <c r="I68" s="42">
        <f>IFERROR(GETPIVOTDATA("Sum of "&amp;I$4,Pivot!$A$3,"Manufacturer",$B68),0)</f>
        <v>1E-3</v>
      </c>
      <c r="J68" s="42">
        <f>IFERROR(GETPIVOTDATA("Sum of "&amp;J$4,Pivot!$A$3,"Manufacturer",$B68),0)</f>
        <v>0.02</v>
      </c>
      <c r="K68" s="55">
        <f t="shared" si="2"/>
        <v>50</v>
      </c>
      <c r="M68" s="44">
        <f t="shared" si="3"/>
        <v>-0.98734977862112583</v>
      </c>
      <c r="N68" s="44">
        <f t="shared" si="4"/>
        <v>-0.99047619047619051</v>
      </c>
      <c r="O68" s="44">
        <f t="shared" si="5"/>
        <v>0.32827324478178377</v>
      </c>
    </row>
    <row r="69" spans="2:15" x14ac:dyDescent="0.15">
      <c r="B69" s="37" t="s">
        <v>780</v>
      </c>
      <c r="C69" s="42">
        <f>IFERROR(GETPIVOTDATA("Sum of "&amp;C$4,Pivot!$A$3,"Manufacturer",$B69),0)</f>
        <v>6.0000000000000001E-3</v>
      </c>
      <c r="D69" s="42">
        <f>IFERROR(GETPIVOTDATA("Sum of "&amp;D$4,Pivot!$A$3,"Manufacturer",$B69),0)</f>
        <v>0.33839999999999998</v>
      </c>
      <c r="E69" s="55">
        <f t="shared" si="0"/>
        <v>17.730496453900709</v>
      </c>
      <c r="F69" s="42">
        <f>IFERROR(GETPIVOTDATA("Sum of "&amp;F$4,Pivot!$A$3,"Manufacturer",$B69),0)</f>
        <v>0.35439999999999999</v>
      </c>
      <c r="G69" s="42">
        <f>IFERROR(GETPIVOTDATA("Sum of "&amp;G$4,Pivot!$A$3,"Manufacturer",$B69),0)</f>
        <v>16.541699999999999</v>
      </c>
      <c r="H69" s="55">
        <f t="shared" si="1"/>
        <v>21.424641965456996</v>
      </c>
      <c r="I69" s="42">
        <f>IFERROR(GETPIVOTDATA("Sum of "&amp;I$4,Pivot!$A$3,"Manufacturer",$B69),0)</f>
        <v>0</v>
      </c>
      <c r="J69" s="42">
        <f>IFERROR(GETPIVOTDATA("Sum of "&amp;J$4,Pivot!$A$3,"Manufacturer",$B69),0)</f>
        <v>0</v>
      </c>
      <c r="K69" s="55" t="str">
        <f t="shared" si="2"/>
        <v>n.a.</v>
      </c>
      <c r="M69" s="44">
        <f t="shared" si="3"/>
        <v>58.066666666666663</v>
      </c>
      <c r="N69" s="44">
        <f t="shared" si="4"/>
        <v>47.88209219858156</v>
      </c>
      <c r="O69" s="44">
        <f t="shared" si="5"/>
        <v>0.20834980685177462</v>
      </c>
    </row>
    <row r="70" spans="2:15" x14ac:dyDescent="0.15">
      <c r="B70" s="37" t="s">
        <v>782</v>
      </c>
      <c r="C70" s="42">
        <f>IFERROR(GETPIVOTDATA("Sum of "&amp;C$4,Pivot!$A$3,"Manufacturer",$B70),0)</f>
        <v>0</v>
      </c>
      <c r="D70" s="42">
        <f>IFERROR(GETPIVOTDATA("Sum of "&amp;D$4,Pivot!$A$3,"Manufacturer",$B70),0)</f>
        <v>0</v>
      </c>
      <c r="E70" s="55" t="str">
        <f t="shared" ref="E70:E103" si="6">IFERROR(C70/D70*1000,"n.a.")</f>
        <v>n.a.</v>
      </c>
      <c r="F70" s="42">
        <f>IFERROR(GETPIVOTDATA("Sum of "&amp;F$4,Pivot!$A$3,"Manufacturer",$B70),0)</f>
        <v>0</v>
      </c>
      <c r="G70" s="42">
        <f>IFERROR(GETPIVOTDATA("Sum of "&amp;G$4,Pivot!$A$3,"Manufacturer",$B70),0)</f>
        <v>0</v>
      </c>
      <c r="H70" s="55" t="str">
        <f t="shared" ref="H70:H103" si="7">IFERROR(F70/G70*1000,"n.a.")</f>
        <v>n.a.</v>
      </c>
      <c r="I70" s="42">
        <f>IFERROR(GETPIVOTDATA("Sum of "&amp;I$4,Pivot!$A$3,"Manufacturer",$B70),0)</f>
        <v>9.8000000000000004E-2</v>
      </c>
      <c r="J70" s="42">
        <f>IFERROR(GETPIVOTDATA("Sum of "&amp;J$4,Pivot!$A$3,"Manufacturer",$B70),0)</f>
        <v>3.3592</v>
      </c>
      <c r="K70" s="55">
        <f t="shared" ref="K70:K103" si="8">IFERROR(I70/J70*1000,"n.a.")</f>
        <v>29.173612764944036</v>
      </c>
      <c r="M70" s="44" t="str">
        <f t="shared" ref="M70:M102" si="9">IFERROR(F70/C70-1,"n.a.")</f>
        <v>n.a.</v>
      </c>
      <c r="N70" s="44" t="str">
        <f t="shared" ref="N70:N102" si="10">IFERROR(G70/D70-1,"n.a.")</f>
        <v>n.a.</v>
      </c>
      <c r="O70" s="44" t="str">
        <f t="shared" ref="O70:O102" si="11">IFERROR(H70/E70-1,"n.a.")</f>
        <v>n.a.</v>
      </c>
    </row>
    <row r="71" spans="2:15" x14ac:dyDescent="0.15">
      <c r="B71" s="37" t="s">
        <v>783</v>
      </c>
      <c r="C71" s="42">
        <f>IFERROR(GETPIVOTDATA("Sum of "&amp;C$4,Pivot!$A$3,"Manufacturer",$B71),0)</f>
        <v>0</v>
      </c>
      <c r="D71" s="42">
        <f>IFERROR(GETPIVOTDATA("Sum of "&amp;D$4,Pivot!$A$3,"Manufacturer",$B71),0)</f>
        <v>0</v>
      </c>
      <c r="E71" s="55" t="str">
        <f t="shared" si="6"/>
        <v>n.a.</v>
      </c>
      <c r="F71" s="42">
        <f>IFERROR(GETPIVOTDATA("Sum of "&amp;F$4,Pivot!$A$3,"Manufacturer",$B71),0)</f>
        <v>0.79349999999999998</v>
      </c>
      <c r="G71" s="42">
        <f>IFERROR(GETPIVOTDATA("Sum of "&amp;G$4,Pivot!$A$3,"Manufacturer",$B71),0)</f>
        <v>47.268799999999999</v>
      </c>
      <c r="H71" s="55">
        <f t="shared" si="7"/>
        <v>16.786971533019667</v>
      </c>
      <c r="I71" s="42">
        <f>IFERROR(GETPIVOTDATA("Sum of "&amp;I$4,Pivot!$A$3,"Manufacturer",$B71),0)</f>
        <v>0.7298</v>
      </c>
      <c r="J71" s="42">
        <f>IFERROR(GETPIVOTDATA("Sum of "&amp;J$4,Pivot!$A$3,"Manufacturer",$B71),0)</f>
        <v>43.602699999999999</v>
      </c>
      <c r="K71" s="55">
        <f t="shared" si="8"/>
        <v>16.737495613803731</v>
      </c>
      <c r="M71" s="44" t="str">
        <f t="shared" si="9"/>
        <v>n.a.</v>
      </c>
      <c r="N71" s="44" t="str">
        <f t="shared" si="10"/>
        <v>n.a.</v>
      </c>
      <c r="O71" s="44" t="str">
        <f t="shared" si="11"/>
        <v>n.a.</v>
      </c>
    </row>
    <row r="72" spans="2:15" x14ac:dyDescent="0.15">
      <c r="B72" s="37" t="s">
        <v>784</v>
      </c>
      <c r="C72" s="42">
        <f>IFERROR(GETPIVOTDATA("Sum of "&amp;C$4,Pivot!$A$3,"Manufacturer",$B72),0)</f>
        <v>0.36020000000000002</v>
      </c>
      <c r="D72" s="42">
        <f>IFERROR(GETPIVOTDATA("Sum of "&amp;D$4,Pivot!$A$3,"Manufacturer",$B72),0)</f>
        <v>19.065100000000001</v>
      </c>
      <c r="E72" s="55">
        <f t="shared" si="6"/>
        <v>18.893160801674263</v>
      </c>
      <c r="F72" s="42">
        <f>IFERROR(GETPIVOTDATA("Sum of "&amp;F$4,Pivot!$A$3,"Manufacturer",$B72),0)</f>
        <v>5.21E-2</v>
      </c>
      <c r="G72" s="42">
        <f>IFERROR(GETPIVOTDATA("Sum of "&amp;G$4,Pivot!$A$3,"Manufacturer",$B72),0)</f>
        <v>2.6206</v>
      </c>
      <c r="H72" s="55">
        <f t="shared" si="7"/>
        <v>19.880943295428526</v>
      </c>
      <c r="I72" s="42">
        <f>IFERROR(GETPIVOTDATA("Sum of "&amp;I$4,Pivot!$A$3,"Manufacturer",$B72),0)</f>
        <v>9.4000000000000004E-3</v>
      </c>
      <c r="J72" s="42">
        <f>IFERROR(GETPIVOTDATA("Sum of "&amp;J$4,Pivot!$A$3,"Manufacturer",$B72),0)</f>
        <v>0.48</v>
      </c>
      <c r="K72" s="55">
        <f t="shared" si="8"/>
        <v>19.583333333333336</v>
      </c>
      <c r="M72" s="44">
        <f t="shared" si="9"/>
        <v>-0.85535813436979458</v>
      </c>
      <c r="N72" s="44">
        <f t="shared" si="10"/>
        <v>-0.86254464964778577</v>
      </c>
      <c r="O72" s="44">
        <f t="shared" si="11"/>
        <v>5.2282543091822342E-2</v>
      </c>
    </row>
    <row r="73" spans="2:15" x14ac:dyDescent="0.15">
      <c r="B73" s="37" t="s">
        <v>785</v>
      </c>
      <c r="C73" s="42">
        <f>IFERROR(GETPIVOTDATA("Sum of "&amp;C$4,Pivot!$A$3,"Manufacturer",$B73),0)</f>
        <v>0</v>
      </c>
      <c r="D73" s="42">
        <f>IFERROR(GETPIVOTDATA("Sum of "&amp;D$4,Pivot!$A$3,"Manufacturer",$B73),0)</f>
        <v>0</v>
      </c>
      <c r="E73" s="55" t="str">
        <f t="shared" si="6"/>
        <v>n.a.</v>
      </c>
      <c r="F73" s="42">
        <f>IFERROR(GETPIVOTDATA("Sum of "&amp;F$4,Pivot!$A$3,"Manufacturer",$B73),0)</f>
        <v>0</v>
      </c>
      <c r="G73" s="42">
        <f>IFERROR(GETPIVOTDATA("Sum of "&amp;G$4,Pivot!$A$3,"Manufacturer",$B73),0)</f>
        <v>0</v>
      </c>
      <c r="H73" s="55" t="str">
        <f t="shared" si="7"/>
        <v>n.a.</v>
      </c>
      <c r="I73" s="42">
        <f>IFERROR(GETPIVOTDATA("Sum of "&amp;I$4,Pivot!$A$3,"Manufacturer",$B73),0)</f>
        <v>2.0999999999999999E-3</v>
      </c>
      <c r="J73" s="42">
        <f>IFERROR(GETPIVOTDATA("Sum of "&amp;J$4,Pivot!$A$3,"Manufacturer",$B73),0)</f>
        <v>0.17710000000000001</v>
      </c>
      <c r="K73" s="55">
        <f t="shared" si="8"/>
        <v>11.857707509881422</v>
      </c>
      <c r="M73" s="44" t="str">
        <f t="shared" si="9"/>
        <v>n.a.</v>
      </c>
      <c r="N73" s="44" t="str">
        <f t="shared" si="10"/>
        <v>n.a.</v>
      </c>
      <c r="O73" s="44" t="str">
        <f t="shared" si="11"/>
        <v>n.a.</v>
      </c>
    </row>
    <row r="74" spans="2:15" x14ac:dyDescent="0.15">
      <c r="B74" s="37" t="s">
        <v>786</v>
      </c>
      <c r="C74" s="42">
        <f>IFERROR(GETPIVOTDATA("Sum of "&amp;C$4,Pivot!$A$3,"Manufacturer",$B74),0)</f>
        <v>2.1507000000000001</v>
      </c>
      <c r="D74" s="42">
        <f>IFERROR(GETPIVOTDATA("Sum of "&amp;D$4,Pivot!$A$3,"Manufacturer",$B74),0)</f>
        <v>55.849800000000002</v>
      </c>
      <c r="E74" s="55">
        <f t="shared" si="6"/>
        <v>38.508642824146193</v>
      </c>
      <c r="F74" s="42">
        <f>IFERROR(GETPIVOTDATA("Sum of "&amp;F$4,Pivot!$A$3,"Manufacturer",$B74),0)</f>
        <v>0.15629999999999999</v>
      </c>
      <c r="G74" s="42">
        <f>IFERROR(GETPIVOTDATA("Sum of "&amp;G$4,Pivot!$A$3,"Manufacturer",$B74),0)</f>
        <v>3.1030000000000002</v>
      </c>
      <c r="H74" s="55">
        <f t="shared" si="7"/>
        <v>50.370609087979368</v>
      </c>
      <c r="I74" s="42">
        <f>IFERROR(GETPIVOTDATA("Sum of "&amp;I$4,Pivot!$A$3,"Manufacturer",$B74),0)</f>
        <v>5.8099999999999999E-2</v>
      </c>
      <c r="J74" s="42">
        <f>IFERROR(GETPIVOTDATA("Sum of "&amp;J$4,Pivot!$A$3,"Manufacturer",$B74),0)</f>
        <v>1.1613</v>
      </c>
      <c r="K74" s="55">
        <f t="shared" si="8"/>
        <v>50.030138637733579</v>
      </c>
      <c r="M74" s="44">
        <f t="shared" si="9"/>
        <v>-0.92732598688798995</v>
      </c>
      <c r="N74" s="44">
        <f t="shared" si="10"/>
        <v>-0.94444026657212743</v>
      </c>
      <c r="O74" s="44">
        <f t="shared" si="11"/>
        <v>0.30803386964329293</v>
      </c>
    </row>
    <row r="75" spans="2:15" x14ac:dyDescent="0.15">
      <c r="B75" s="37" t="s">
        <v>787</v>
      </c>
      <c r="C75" s="42">
        <f>IFERROR(GETPIVOTDATA("Sum of "&amp;C$4,Pivot!$A$3,"Manufacturer",$B75),0)</f>
        <v>1.4567000000000001</v>
      </c>
      <c r="D75" s="42">
        <f>IFERROR(GETPIVOTDATA("Sum of "&amp;D$4,Pivot!$A$3,"Manufacturer",$B75),0)</f>
        <v>8.1128999999999998</v>
      </c>
      <c r="E75" s="55">
        <f t="shared" si="6"/>
        <v>179.55355051831037</v>
      </c>
      <c r="F75" s="42">
        <f>IFERROR(GETPIVOTDATA("Sum of "&amp;F$4,Pivot!$A$3,"Manufacturer",$B75),0)</f>
        <v>0.97109999999999996</v>
      </c>
      <c r="G75" s="42">
        <f>IFERROR(GETPIVOTDATA("Sum of "&amp;G$4,Pivot!$A$3,"Manufacturer",$B75),0)</f>
        <v>4.8048999999999999</v>
      </c>
      <c r="H75" s="55">
        <f t="shared" si="7"/>
        <v>202.10618327124394</v>
      </c>
      <c r="I75" s="42">
        <f>IFERROR(GETPIVOTDATA("Sum of "&amp;I$4,Pivot!$A$3,"Manufacturer",$B75),0)</f>
        <v>0.44120000000000004</v>
      </c>
      <c r="J75" s="42">
        <f>IFERROR(GETPIVOTDATA("Sum of "&amp;J$4,Pivot!$A$3,"Manufacturer",$B75),0)</f>
        <v>2.4375</v>
      </c>
      <c r="K75" s="55">
        <f t="shared" si="8"/>
        <v>181.00512820512822</v>
      </c>
      <c r="M75" s="44">
        <f t="shared" si="9"/>
        <v>-0.33335621610489474</v>
      </c>
      <c r="N75" s="44">
        <f t="shared" si="10"/>
        <v>-0.4077456889644886</v>
      </c>
      <c r="O75" s="44">
        <f t="shared" si="11"/>
        <v>0.1256039364737247</v>
      </c>
    </row>
    <row r="76" spans="2:15" x14ac:dyDescent="0.15">
      <c r="B76" s="37" t="s">
        <v>788</v>
      </c>
      <c r="C76" s="42">
        <f>IFERROR(GETPIVOTDATA("Sum of "&amp;C$4,Pivot!$A$3,"Manufacturer",$B76),0)</f>
        <v>26.606400000000001</v>
      </c>
      <c r="D76" s="42">
        <f>IFERROR(GETPIVOTDATA("Sum of "&amp;D$4,Pivot!$A$3,"Manufacturer",$B76),0)</f>
        <v>773.97839999999997</v>
      </c>
      <c r="E76" s="55">
        <f t="shared" si="6"/>
        <v>34.37615313295565</v>
      </c>
      <c r="F76" s="42">
        <f>IFERROR(GETPIVOTDATA("Sum of "&amp;F$4,Pivot!$A$3,"Manufacturer",$B76),0)</f>
        <v>12.7163</v>
      </c>
      <c r="G76" s="42">
        <f>IFERROR(GETPIVOTDATA("Sum of "&amp;G$4,Pivot!$A$3,"Manufacturer",$B76),0)</f>
        <v>348.97550000000001</v>
      </c>
      <c r="H76" s="55">
        <f t="shared" si="7"/>
        <v>36.438947719825599</v>
      </c>
      <c r="I76" s="42">
        <f>IFERROR(GETPIVOTDATA("Sum of "&amp;I$4,Pivot!$A$3,"Manufacturer",$B76),0)</f>
        <v>6.1868999999999996</v>
      </c>
      <c r="J76" s="42">
        <f>IFERROR(GETPIVOTDATA("Sum of "&amp;J$4,Pivot!$A$3,"Manufacturer",$B76),0)</f>
        <v>165.1816</v>
      </c>
      <c r="K76" s="55">
        <f t="shared" si="8"/>
        <v>37.455140281968447</v>
      </c>
      <c r="M76" s="44">
        <f t="shared" si="9"/>
        <v>-0.52205860244151781</v>
      </c>
      <c r="N76" s="44">
        <f t="shared" si="10"/>
        <v>-0.54911467813572057</v>
      </c>
      <c r="O76" s="44">
        <f t="shared" si="11"/>
        <v>6.0006556838740455E-2</v>
      </c>
    </row>
    <row r="77" spans="2:15" x14ac:dyDescent="0.15">
      <c r="B77" s="37" t="s">
        <v>789</v>
      </c>
      <c r="C77" s="42">
        <f>IFERROR(GETPIVOTDATA("Sum of "&amp;C$4,Pivot!$A$3,"Manufacturer",$B77),0)</f>
        <v>0</v>
      </c>
      <c r="D77" s="42">
        <f>IFERROR(GETPIVOTDATA("Sum of "&amp;D$4,Pivot!$A$3,"Manufacturer",$B77),0)</f>
        <v>0</v>
      </c>
      <c r="E77" s="55" t="str">
        <f t="shared" si="6"/>
        <v>n.a.</v>
      </c>
      <c r="F77" s="42">
        <f>IFERROR(GETPIVOTDATA("Sum of "&amp;F$4,Pivot!$A$3,"Manufacturer",$B77),0)</f>
        <v>0</v>
      </c>
      <c r="G77" s="42">
        <f>IFERROR(GETPIVOTDATA("Sum of "&amp;G$4,Pivot!$A$3,"Manufacturer",$B77),0)</f>
        <v>0</v>
      </c>
      <c r="H77" s="55" t="str">
        <f t="shared" si="7"/>
        <v>n.a.</v>
      </c>
      <c r="I77" s="42">
        <f>IFERROR(GETPIVOTDATA("Sum of "&amp;I$4,Pivot!$A$3,"Manufacturer",$B77),0)</f>
        <v>0.624</v>
      </c>
      <c r="J77" s="42">
        <f>IFERROR(GETPIVOTDATA("Sum of "&amp;J$4,Pivot!$A$3,"Manufacturer",$B77),0)</f>
        <v>34.035699999999999</v>
      </c>
      <c r="K77" s="55">
        <f t="shared" si="8"/>
        <v>18.333690801129404</v>
      </c>
      <c r="M77" s="44" t="str">
        <f t="shared" si="9"/>
        <v>n.a.</v>
      </c>
      <c r="N77" s="44" t="str">
        <f t="shared" si="10"/>
        <v>n.a.</v>
      </c>
      <c r="O77" s="44" t="str">
        <f t="shared" si="11"/>
        <v>n.a.</v>
      </c>
    </row>
    <row r="78" spans="2:15" x14ac:dyDescent="0.15">
      <c r="B78" s="37" t="s">
        <v>790</v>
      </c>
      <c r="C78" s="42">
        <f>IFERROR(GETPIVOTDATA("Sum of "&amp;C$4,Pivot!$A$3,"Manufacturer",$B78),0)</f>
        <v>192.72300000000001</v>
      </c>
      <c r="D78" s="42">
        <f>IFERROR(GETPIVOTDATA("Sum of "&amp;D$4,Pivot!$A$3,"Manufacturer",$B78),0)</f>
        <v>7900.9691000000003</v>
      </c>
      <c r="E78" s="55">
        <f t="shared" si="6"/>
        <v>24.392324227669743</v>
      </c>
      <c r="F78" s="42">
        <f>IFERROR(GETPIVOTDATA("Sum of "&amp;F$4,Pivot!$A$3,"Manufacturer",$B78),0)</f>
        <v>183.24340000000001</v>
      </c>
      <c r="G78" s="42">
        <f>IFERROR(GETPIVOTDATA("Sum of "&amp;G$4,Pivot!$A$3,"Manufacturer",$B78),0)</f>
        <v>6838.8454000000002</v>
      </c>
      <c r="H78" s="55">
        <f t="shared" si="7"/>
        <v>26.794493702109424</v>
      </c>
      <c r="I78" s="42">
        <f>IFERROR(GETPIVOTDATA("Sum of "&amp;I$4,Pivot!$A$3,"Manufacturer",$B78),0)</f>
        <v>97.209599999999995</v>
      </c>
      <c r="J78" s="42">
        <f>IFERROR(GETPIVOTDATA("Sum of "&amp;J$4,Pivot!$A$3,"Manufacturer",$B78),0)</f>
        <v>3264.5805999999998</v>
      </c>
      <c r="K78" s="55">
        <f t="shared" si="8"/>
        <v>29.777056201338695</v>
      </c>
      <c r="M78" s="44">
        <f t="shared" si="9"/>
        <v>-4.9187694255485859E-2</v>
      </c>
      <c r="N78" s="44">
        <f t="shared" si="10"/>
        <v>-0.13442954738299129</v>
      </c>
      <c r="O78" s="44">
        <f t="shared" si="11"/>
        <v>9.8480548717647443E-2</v>
      </c>
    </row>
    <row r="79" spans="2:15" x14ac:dyDescent="0.15">
      <c r="B79" s="37" t="s">
        <v>791</v>
      </c>
      <c r="C79" s="42">
        <f>IFERROR(GETPIVOTDATA("Sum of "&amp;C$4,Pivot!$A$3,"Manufacturer",$B79),0)</f>
        <v>1818.5406000000007</v>
      </c>
      <c r="D79" s="42">
        <f>IFERROR(GETPIVOTDATA("Sum of "&amp;D$4,Pivot!$A$3,"Manufacturer",$B79),0)</f>
        <v>45983.128800000006</v>
      </c>
      <c r="E79" s="55">
        <f t="shared" si="6"/>
        <v>39.547996133747226</v>
      </c>
      <c r="F79" s="42">
        <f>IFERROR(GETPIVOTDATA("Sum of "&amp;F$4,Pivot!$A$3,"Manufacturer",$B79),0)</f>
        <v>2101.7048</v>
      </c>
      <c r="G79" s="42">
        <f>IFERROR(GETPIVOTDATA("Sum of "&amp;G$4,Pivot!$A$3,"Manufacturer",$B79),0)</f>
        <v>53803.277899999994</v>
      </c>
      <c r="H79" s="55">
        <f t="shared" si="7"/>
        <v>39.062764984436022</v>
      </c>
      <c r="I79" s="42">
        <f>IFERROR(GETPIVOTDATA("Sum of "&amp;I$4,Pivot!$A$3,"Manufacturer",$B79),0)</f>
        <v>1233.5608</v>
      </c>
      <c r="J79" s="42">
        <f>IFERROR(GETPIVOTDATA("Sum of "&amp;J$4,Pivot!$A$3,"Manufacturer",$B79),0)</f>
        <v>29897.358499999995</v>
      </c>
      <c r="K79" s="55">
        <f t="shared" si="8"/>
        <v>41.259859127688493</v>
      </c>
      <c r="M79" s="44">
        <f t="shared" si="9"/>
        <v>0.15570958382782285</v>
      </c>
      <c r="N79" s="44">
        <f t="shared" si="10"/>
        <v>0.17006561545677124</v>
      </c>
      <c r="O79" s="44">
        <f t="shared" si="11"/>
        <v>-1.2269424414582231E-2</v>
      </c>
    </row>
    <row r="80" spans="2:15" x14ac:dyDescent="0.15">
      <c r="B80" s="37" t="s">
        <v>792</v>
      </c>
      <c r="C80" s="42">
        <f>IFERROR(GETPIVOTDATA("Sum of "&amp;C$4,Pivot!$A$3,"Manufacturer",$B80),0)</f>
        <v>12.300700000000001</v>
      </c>
      <c r="D80" s="42">
        <f>IFERROR(GETPIVOTDATA("Sum of "&amp;D$4,Pivot!$A$3,"Manufacturer",$B80),0)</f>
        <v>127.5915</v>
      </c>
      <c r="E80" s="55">
        <f t="shared" si="6"/>
        <v>96.406892308656921</v>
      </c>
      <c r="F80" s="42">
        <f>IFERROR(GETPIVOTDATA("Sum of "&amp;F$4,Pivot!$A$3,"Manufacturer",$B80),0)</f>
        <v>12.5441</v>
      </c>
      <c r="G80" s="42">
        <f>IFERROR(GETPIVOTDATA("Sum of "&amp;G$4,Pivot!$A$3,"Manufacturer",$B80),0)</f>
        <v>142.67039999999997</v>
      </c>
      <c r="H80" s="55">
        <f t="shared" si="7"/>
        <v>87.923633774069472</v>
      </c>
      <c r="I80" s="42">
        <f>IFERROR(GETPIVOTDATA("Sum of "&amp;I$4,Pivot!$A$3,"Manufacturer",$B80),0)</f>
        <v>8.6649999999999991</v>
      </c>
      <c r="J80" s="42">
        <f>IFERROR(GETPIVOTDATA("Sum of "&amp;J$4,Pivot!$A$3,"Manufacturer",$B80),0)</f>
        <v>110.3914</v>
      </c>
      <c r="K80" s="55">
        <f t="shared" si="8"/>
        <v>78.493433365280254</v>
      </c>
      <c r="M80" s="44">
        <f t="shared" si="9"/>
        <v>1.9787491768761045E-2</v>
      </c>
      <c r="N80" s="44">
        <f t="shared" si="10"/>
        <v>0.11818107005560696</v>
      </c>
      <c r="O80" s="44">
        <f t="shared" si="11"/>
        <v>-8.7994315877617857E-2</v>
      </c>
    </row>
    <row r="81" spans="2:15" x14ac:dyDescent="0.15">
      <c r="B81" s="37" t="s">
        <v>794</v>
      </c>
      <c r="C81" s="42">
        <f>IFERROR(GETPIVOTDATA("Sum of "&amp;C$4,Pivot!$A$3,"Manufacturer",$B81),0)</f>
        <v>78.612899999999996</v>
      </c>
      <c r="D81" s="42">
        <f>IFERROR(GETPIVOTDATA("Sum of "&amp;D$4,Pivot!$A$3,"Manufacturer",$B81),0)</f>
        <v>5148.8364000000001</v>
      </c>
      <c r="E81" s="55">
        <f t="shared" si="6"/>
        <v>15.268090475743216</v>
      </c>
      <c r="F81" s="42">
        <f>IFERROR(GETPIVOTDATA("Sum of "&amp;F$4,Pivot!$A$3,"Manufacturer",$B81),0)</f>
        <v>83.733099999999993</v>
      </c>
      <c r="G81" s="42">
        <f>IFERROR(GETPIVOTDATA("Sum of "&amp;G$4,Pivot!$A$3,"Manufacturer",$B81),0)</f>
        <v>5284.2040999999999</v>
      </c>
      <c r="H81" s="55">
        <f t="shared" si="7"/>
        <v>15.845924649276887</v>
      </c>
      <c r="I81" s="42">
        <f>IFERROR(GETPIVOTDATA("Sum of "&amp;I$4,Pivot!$A$3,"Manufacturer",$B81),0)</f>
        <v>33.060899999999997</v>
      </c>
      <c r="J81" s="42">
        <f>IFERROR(GETPIVOTDATA("Sum of "&amp;J$4,Pivot!$A$3,"Manufacturer",$B81),0)</f>
        <v>2040.6587000000002</v>
      </c>
      <c r="K81" s="55">
        <f t="shared" si="8"/>
        <v>16.201092323767806</v>
      </c>
      <c r="M81" s="44">
        <f t="shared" si="9"/>
        <v>6.5131804067780186E-2</v>
      </c>
      <c r="N81" s="44">
        <f t="shared" si="10"/>
        <v>2.6290930510046939E-2</v>
      </c>
      <c r="O81" s="44">
        <f t="shared" si="11"/>
        <v>3.7845870408725224E-2</v>
      </c>
    </row>
    <row r="82" spans="2:15" x14ac:dyDescent="0.15">
      <c r="B82" s="37" t="s">
        <v>795</v>
      </c>
      <c r="C82" s="42">
        <f>IFERROR(GETPIVOTDATA("Sum of "&amp;C$4,Pivot!$A$3,"Manufacturer",$B82),0)</f>
        <v>65.863799999999998</v>
      </c>
      <c r="D82" s="42">
        <f>IFERROR(GETPIVOTDATA("Sum of "&amp;D$4,Pivot!$A$3,"Manufacturer",$B82),0)</f>
        <v>4126.7389000000003</v>
      </c>
      <c r="E82" s="55">
        <f t="shared" si="6"/>
        <v>15.960253749031709</v>
      </c>
      <c r="F82" s="42">
        <f>IFERROR(GETPIVOTDATA("Sum of "&amp;F$4,Pivot!$A$3,"Manufacturer",$B82),0)</f>
        <v>45.340400000000002</v>
      </c>
      <c r="G82" s="42">
        <f>IFERROR(GETPIVOTDATA("Sum of "&amp;G$4,Pivot!$A$3,"Manufacturer",$B82),0)</f>
        <v>2357.3103000000001</v>
      </c>
      <c r="H82" s="55">
        <f t="shared" si="7"/>
        <v>19.233954901906635</v>
      </c>
      <c r="I82" s="42">
        <f>IFERROR(GETPIVOTDATA("Sum of "&amp;I$4,Pivot!$A$3,"Manufacturer",$B82),0)</f>
        <v>13.16</v>
      </c>
      <c r="J82" s="42">
        <f>IFERROR(GETPIVOTDATA("Sum of "&amp;J$4,Pivot!$A$3,"Manufacturer",$B82),0)</f>
        <v>741.50080000000003</v>
      </c>
      <c r="K82" s="55">
        <f t="shared" si="8"/>
        <v>17.747789348305488</v>
      </c>
      <c r="M82" s="44">
        <f t="shared" si="9"/>
        <v>-0.31160364266865859</v>
      </c>
      <c r="N82" s="44">
        <f t="shared" si="10"/>
        <v>-0.4287716385449053</v>
      </c>
      <c r="O82" s="44">
        <f t="shared" si="11"/>
        <v>0.20511585870453586</v>
      </c>
    </row>
    <row r="83" spans="2:15" x14ac:dyDescent="0.15">
      <c r="B83" s="37" t="s">
        <v>796</v>
      </c>
      <c r="C83" s="42">
        <f>IFERROR(GETPIVOTDATA("Sum of "&amp;C$4,Pivot!$A$3,"Manufacturer",$B83),0)</f>
        <v>2.9096000000000002</v>
      </c>
      <c r="D83" s="42">
        <f>IFERROR(GETPIVOTDATA("Sum of "&amp;D$4,Pivot!$A$3,"Manufacturer",$B83),0)</f>
        <v>55.366500000000002</v>
      </c>
      <c r="E83" s="55">
        <f t="shared" si="6"/>
        <v>52.551633207806169</v>
      </c>
      <c r="F83" s="42">
        <f>IFERROR(GETPIVOTDATA("Sum of "&amp;F$4,Pivot!$A$3,"Manufacturer",$B83),0)</f>
        <v>6.0198</v>
      </c>
      <c r="G83" s="42">
        <f>IFERROR(GETPIVOTDATA("Sum of "&amp;G$4,Pivot!$A$3,"Manufacturer",$B83),0)</f>
        <v>108.4705</v>
      </c>
      <c r="H83" s="55">
        <f t="shared" si="7"/>
        <v>55.497116727589528</v>
      </c>
      <c r="I83" s="42">
        <f>IFERROR(GETPIVOTDATA("Sum of "&amp;I$4,Pivot!$A$3,"Manufacturer",$B83),0)</f>
        <v>5.5109000000000004</v>
      </c>
      <c r="J83" s="42">
        <f>IFERROR(GETPIVOTDATA("Sum of "&amp;J$4,Pivot!$A$3,"Manufacturer",$B83),0)</f>
        <v>98.710099999999997</v>
      </c>
      <c r="K83" s="55">
        <f t="shared" si="8"/>
        <v>55.82914007786438</v>
      </c>
      <c r="M83" s="44">
        <f t="shared" si="9"/>
        <v>1.0689441847676657</v>
      </c>
      <c r="N83" s="44">
        <f t="shared" si="10"/>
        <v>0.95913593960246724</v>
      </c>
      <c r="O83" s="44">
        <f t="shared" si="11"/>
        <v>5.6049324064505468E-2</v>
      </c>
    </row>
    <row r="84" spans="2:15" x14ac:dyDescent="0.15">
      <c r="B84" s="37" t="s">
        <v>797</v>
      </c>
      <c r="C84" s="42">
        <f>IFERROR(GETPIVOTDATA("Sum of "&amp;C$4,Pivot!$A$3,"Manufacturer",$B84),0)</f>
        <v>0</v>
      </c>
      <c r="D84" s="42">
        <f>IFERROR(GETPIVOTDATA("Sum of "&amp;D$4,Pivot!$A$3,"Manufacturer",$B84),0)</f>
        <v>0</v>
      </c>
      <c r="E84" s="55" t="str">
        <f t="shared" si="6"/>
        <v>n.a.</v>
      </c>
      <c r="F84" s="42">
        <f>IFERROR(GETPIVOTDATA("Sum of "&amp;F$4,Pivot!$A$3,"Manufacturer",$B84),0)</f>
        <v>0</v>
      </c>
      <c r="G84" s="42">
        <f>IFERROR(GETPIVOTDATA("Sum of "&amp;G$4,Pivot!$A$3,"Manufacturer",$B84),0)</f>
        <v>0</v>
      </c>
      <c r="H84" s="55" t="str">
        <f t="shared" si="7"/>
        <v>n.a.</v>
      </c>
      <c r="I84" s="42">
        <f>IFERROR(GETPIVOTDATA("Sum of "&amp;I$4,Pivot!$A$3,"Manufacturer",$B84),0)</f>
        <v>9.1999999999999998E-3</v>
      </c>
      <c r="J84" s="42">
        <f>IFERROR(GETPIVOTDATA("Sum of "&amp;J$4,Pivot!$A$3,"Manufacturer",$B84),0)</f>
        <v>0.30320000000000003</v>
      </c>
      <c r="K84" s="55">
        <f t="shared" si="8"/>
        <v>30.343007915567281</v>
      </c>
      <c r="M84" s="44" t="str">
        <f t="shared" si="9"/>
        <v>n.a.</v>
      </c>
      <c r="N84" s="44" t="str">
        <f t="shared" si="10"/>
        <v>n.a.</v>
      </c>
      <c r="O84" s="44" t="str">
        <f t="shared" si="11"/>
        <v>n.a.</v>
      </c>
    </row>
    <row r="85" spans="2:15" x14ac:dyDescent="0.15">
      <c r="B85" s="37" t="s">
        <v>799</v>
      </c>
      <c r="C85" s="42">
        <f>IFERROR(GETPIVOTDATA("Sum of "&amp;C$4,Pivot!$A$3,"Manufacturer",$B85),0)</f>
        <v>60.899099999999997</v>
      </c>
      <c r="D85" s="42">
        <f>IFERROR(GETPIVOTDATA("Sum of "&amp;D$4,Pivot!$A$3,"Manufacturer",$B85),0)</f>
        <v>1646.9926999999998</v>
      </c>
      <c r="E85" s="55">
        <f t="shared" si="6"/>
        <v>36.975938023283284</v>
      </c>
      <c r="F85" s="42">
        <f>IFERROR(GETPIVOTDATA("Sum of "&amp;F$4,Pivot!$A$3,"Manufacturer",$B85),0)</f>
        <v>35.979600000000005</v>
      </c>
      <c r="G85" s="42">
        <f>IFERROR(GETPIVOTDATA("Sum of "&amp;G$4,Pivot!$A$3,"Manufacturer",$B85),0)</f>
        <v>1006.4904</v>
      </c>
      <c r="H85" s="55">
        <f t="shared" si="7"/>
        <v>35.747583881575025</v>
      </c>
      <c r="I85" s="42">
        <f>IFERROR(GETPIVOTDATA("Sum of "&amp;I$4,Pivot!$A$3,"Manufacturer",$B85),0)</f>
        <v>13.2828</v>
      </c>
      <c r="J85" s="42">
        <f>IFERROR(GETPIVOTDATA("Sum of "&amp;J$4,Pivot!$A$3,"Manufacturer",$B85),0)</f>
        <v>408.45429999999999</v>
      </c>
      <c r="K85" s="55">
        <f t="shared" si="8"/>
        <v>32.519672335436304</v>
      </c>
      <c r="M85" s="44">
        <f t="shared" si="9"/>
        <v>-0.40919323930895524</v>
      </c>
      <c r="N85" s="44">
        <f t="shared" si="10"/>
        <v>-0.38889200905383481</v>
      </c>
      <c r="O85" s="44">
        <f t="shared" si="11"/>
        <v>-3.322036457695221E-2</v>
      </c>
    </row>
    <row r="86" spans="2:15" x14ac:dyDescent="0.15">
      <c r="B86" s="37" t="s">
        <v>800</v>
      </c>
      <c r="C86" s="42">
        <f>IFERROR(GETPIVOTDATA("Sum of "&amp;C$4,Pivot!$A$3,"Manufacturer",$B86),0)</f>
        <v>26.3474</v>
      </c>
      <c r="D86" s="42">
        <f>IFERROR(GETPIVOTDATA("Sum of "&amp;D$4,Pivot!$A$3,"Manufacturer",$B86),0)</f>
        <v>920.46799999999996</v>
      </c>
      <c r="E86" s="55">
        <f t="shared" si="6"/>
        <v>28.623917398540744</v>
      </c>
      <c r="F86" s="42">
        <f>IFERROR(GETPIVOTDATA("Sum of "&amp;F$4,Pivot!$A$3,"Manufacturer",$B86),0)</f>
        <v>72.591800000000006</v>
      </c>
      <c r="G86" s="42">
        <f>IFERROR(GETPIVOTDATA("Sum of "&amp;G$4,Pivot!$A$3,"Manufacturer",$B86),0)</f>
        <v>3084.2015000000001</v>
      </c>
      <c r="H86" s="55">
        <f t="shared" si="7"/>
        <v>23.536659326571236</v>
      </c>
      <c r="I86" s="42">
        <f>IFERROR(GETPIVOTDATA("Sum of "&amp;I$4,Pivot!$A$3,"Manufacturer",$B86),0)</f>
        <v>62.007400000000004</v>
      </c>
      <c r="J86" s="42">
        <f>IFERROR(GETPIVOTDATA("Sum of "&amp;J$4,Pivot!$A$3,"Manufacturer",$B86),0)</f>
        <v>2719.9431</v>
      </c>
      <c r="K86" s="55">
        <f t="shared" si="8"/>
        <v>22.797315135011466</v>
      </c>
      <c r="M86" s="44">
        <f t="shared" si="9"/>
        <v>1.7551788791303888</v>
      </c>
      <c r="N86" s="44">
        <f t="shared" si="10"/>
        <v>2.3506884541342017</v>
      </c>
      <c r="O86" s="44">
        <f t="shared" si="11"/>
        <v>-0.1777275276873479</v>
      </c>
    </row>
    <row r="87" spans="2:15" x14ac:dyDescent="0.15">
      <c r="B87" s="37" t="s">
        <v>801</v>
      </c>
      <c r="C87" s="42">
        <f>IFERROR(GETPIVOTDATA("Sum of "&amp;C$4,Pivot!$A$3,"Manufacturer",$B87),0)</f>
        <v>0.97350000000000003</v>
      </c>
      <c r="D87" s="42">
        <f>IFERROR(GETPIVOTDATA("Sum of "&amp;D$4,Pivot!$A$3,"Manufacturer",$B87),0)</f>
        <v>4.9279999999999999</v>
      </c>
      <c r="E87" s="55">
        <f t="shared" si="6"/>
        <v>197.54464285714289</v>
      </c>
      <c r="F87" s="42">
        <f>IFERROR(GETPIVOTDATA("Sum of "&amp;F$4,Pivot!$A$3,"Manufacturer",$B87),0)</f>
        <v>1.3668</v>
      </c>
      <c r="G87" s="42">
        <f>IFERROR(GETPIVOTDATA("Sum of "&amp;G$4,Pivot!$A$3,"Manufacturer",$B87),0)</f>
        <v>7.3565000000000005</v>
      </c>
      <c r="H87" s="55">
        <f t="shared" si="7"/>
        <v>185.79487528036429</v>
      </c>
      <c r="I87" s="42">
        <f>IFERROR(GETPIVOTDATA("Sum of "&amp;I$4,Pivot!$A$3,"Manufacturer",$B87),0)</f>
        <v>0.25619999999999998</v>
      </c>
      <c r="J87" s="42">
        <f>IFERROR(GETPIVOTDATA("Sum of "&amp;J$4,Pivot!$A$3,"Manufacturer",$B87),0)</f>
        <v>1.4279999999999999</v>
      </c>
      <c r="K87" s="55">
        <f t="shared" si="8"/>
        <v>179.41176470588235</v>
      </c>
      <c r="M87" s="44">
        <f t="shared" si="9"/>
        <v>0.40400616332819728</v>
      </c>
      <c r="N87" s="44">
        <f t="shared" si="10"/>
        <v>0.49279626623376638</v>
      </c>
      <c r="O87" s="44">
        <f t="shared" si="11"/>
        <v>-5.9479049428212583E-2</v>
      </c>
    </row>
    <row r="88" spans="2:15" x14ac:dyDescent="0.15">
      <c r="B88" s="37" t="s">
        <v>802</v>
      </c>
      <c r="C88" s="42">
        <f>IFERROR(GETPIVOTDATA("Sum of "&amp;C$4,Pivot!$A$3,"Manufacturer",$B88),0)</f>
        <v>18.511199999999999</v>
      </c>
      <c r="D88" s="42">
        <f>IFERROR(GETPIVOTDATA("Sum of "&amp;D$4,Pivot!$A$3,"Manufacturer",$B88),0)</f>
        <v>978.49419999999998</v>
      </c>
      <c r="E88" s="55">
        <f t="shared" si="6"/>
        <v>18.918047751330565</v>
      </c>
      <c r="F88" s="42">
        <f>IFERROR(GETPIVOTDATA("Sum of "&amp;F$4,Pivot!$A$3,"Manufacturer",$B88),0)</f>
        <v>14.1861</v>
      </c>
      <c r="G88" s="42">
        <f>IFERROR(GETPIVOTDATA("Sum of "&amp;G$4,Pivot!$A$3,"Manufacturer",$B88),0)</f>
        <v>734.42629999999997</v>
      </c>
      <c r="H88" s="55">
        <f t="shared" si="7"/>
        <v>19.315893235304891</v>
      </c>
      <c r="I88" s="42">
        <f>IFERROR(GETPIVOTDATA("Sum of "&amp;I$4,Pivot!$A$3,"Manufacturer",$B88),0)</f>
        <v>5.5843999999999996</v>
      </c>
      <c r="J88" s="42">
        <f>IFERROR(GETPIVOTDATA("Sum of "&amp;J$4,Pivot!$A$3,"Manufacturer",$B88),0)</f>
        <v>305.17070000000001</v>
      </c>
      <c r="K88" s="55">
        <f t="shared" si="8"/>
        <v>18.299266607180833</v>
      </c>
      <c r="M88" s="44">
        <f t="shared" si="9"/>
        <v>-0.23364773758589386</v>
      </c>
      <c r="N88" s="44">
        <f t="shared" si="10"/>
        <v>-0.2494321376662223</v>
      </c>
      <c r="O88" s="44">
        <f t="shared" si="11"/>
        <v>2.1029943956365482E-2</v>
      </c>
    </row>
    <row r="89" spans="2:15" x14ac:dyDescent="0.15">
      <c r="B89" s="37" t="s">
        <v>803</v>
      </c>
      <c r="C89" s="42">
        <f>IFERROR(GETPIVOTDATA("Sum of "&amp;C$4,Pivot!$A$3,"Manufacturer",$B89),0)</f>
        <v>632.96199999999999</v>
      </c>
      <c r="D89" s="42">
        <f>IFERROR(GETPIVOTDATA("Sum of "&amp;D$4,Pivot!$A$3,"Manufacturer",$B89),0)</f>
        <v>36136.764000000003</v>
      </c>
      <c r="E89" s="55">
        <f t="shared" si="6"/>
        <v>17.515735498618525</v>
      </c>
      <c r="F89" s="42">
        <f>IFERROR(GETPIVOTDATA("Sum of "&amp;F$4,Pivot!$A$3,"Manufacturer",$B89),0)</f>
        <v>529.41079999999999</v>
      </c>
      <c r="G89" s="42">
        <f>IFERROR(GETPIVOTDATA("Sum of "&amp;G$4,Pivot!$A$3,"Manufacturer",$B89),0)</f>
        <v>28913.011900000001</v>
      </c>
      <c r="H89" s="55">
        <f t="shared" si="7"/>
        <v>18.310468720140495</v>
      </c>
      <c r="I89" s="42">
        <f>IFERROR(GETPIVOTDATA("Sum of "&amp;I$4,Pivot!$A$3,"Manufacturer",$B89),0)</f>
        <v>262.13729999999998</v>
      </c>
      <c r="J89" s="42">
        <f>IFERROR(GETPIVOTDATA("Sum of "&amp;J$4,Pivot!$A$3,"Manufacturer",$B89),0)</f>
        <v>13646.294400000001</v>
      </c>
      <c r="K89" s="55">
        <f t="shared" si="8"/>
        <v>19.209412629995729</v>
      </c>
      <c r="M89" s="44">
        <f t="shared" si="9"/>
        <v>-0.16359781471873514</v>
      </c>
      <c r="N89" s="44">
        <f t="shared" si="10"/>
        <v>-0.1999003590913675</v>
      </c>
      <c r="O89" s="44">
        <f t="shared" si="11"/>
        <v>4.5372529265736539E-2</v>
      </c>
    </row>
    <row r="90" spans="2:15" x14ac:dyDescent="0.15">
      <c r="B90" s="37" t="s">
        <v>804</v>
      </c>
      <c r="C90" s="42">
        <f>IFERROR(GETPIVOTDATA("Sum of "&amp;C$4,Pivot!$A$3,"Manufacturer",$B90),0)</f>
        <v>154.93450000000001</v>
      </c>
      <c r="D90" s="42">
        <f>IFERROR(GETPIVOTDATA("Sum of "&amp;D$4,Pivot!$A$3,"Manufacturer",$B90),0)</f>
        <v>4738.4237000000003</v>
      </c>
      <c r="E90" s="55">
        <f t="shared" si="6"/>
        <v>32.69747701118412</v>
      </c>
      <c r="F90" s="42">
        <f>IFERROR(GETPIVOTDATA("Sum of "&amp;F$4,Pivot!$A$3,"Manufacturer",$B90),0)</f>
        <v>154.98239999999998</v>
      </c>
      <c r="G90" s="42">
        <f>IFERROR(GETPIVOTDATA("Sum of "&amp;G$4,Pivot!$A$3,"Manufacturer",$B90),0)</f>
        <v>5792.3320999999996</v>
      </c>
      <c r="H90" s="55">
        <f t="shared" si="7"/>
        <v>26.756476894686337</v>
      </c>
      <c r="I90" s="42">
        <f>IFERROR(GETPIVOTDATA("Sum of "&amp;I$4,Pivot!$A$3,"Manufacturer",$B90),0)</f>
        <v>45.514200000000002</v>
      </c>
      <c r="J90" s="42">
        <f>IFERROR(GETPIVOTDATA("Sum of "&amp;J$4,Pivot!$A$3,"Manufacturer",$B90),0)</f>
        <v>1599.6686</v>
      </c>
      <c r="K90" s="55">
        <f t="shared" si="8"/>
        <v>28.452268176045965</v>
      </c>
      <c r="M90" s="44">
        <f t="shared" si="9"/>
        <v>3.0916290432392302E-4</v>
      </c>
      <c r="N90" s="44">
        <f t="shared" si="10"/>
        <v>0.22241750985670605</v>
      </c>
      <c r="O90" s="44">
        <f t="shared" si="11"/>
        <v>-0.1816959796153591</v>
      </c>
    </row>
    <row r="91" spans="2:15" x14ac:dyDescent="0.15">
      <c r="B91" s="37" t="s">
        <v>805</v>
      </c>
      <c r="C91" s="42">
        <f>IFERROR(GETPIVOTDATA("Sum of "&amp;C$4,Pivot!$A$3,"Manufacturer",$B91),0)</f>
        <v>466.31510000000003</v>
      </c>
      <c r="D91" s="42">
        <f>IFERROR(GETPIVOTDATA("Sum of "&amp;D$4,Pivot!$A$3,"Manufacturer",$B91),0)</f>
        <v>27928.056800000002</v>
      </c>
      <c r="E91" s="55">
        <f t="shared" si="6"/>
        <v>16.697012016962095</v>
      </c>
      <c r="F91" s="42">
        <f>IFERROR(GETPIVOTDATA("Sum of "&amp;F$4,Pivot!$A$3,"Manufacturer",$B91),0)</f>
        <v>321.99379999999996</v>
      </c>
      <c r="G91" s="42">
        <f>IFERROR(GETPIVOTDATA("Sum of "&amp;G$4,Pivot!$A$3,"Manufacturer",$B91),0)</f>
        <v>19049.502499999999</v>
      </c>
      <c r="H91" s="55">
        <f t="shared" si="7"/>
        <v>16.903003109923738</v>
      </c>
      <c r="I91" s="42">
        <f>IFERROR(GETPIVOTDATA("Sum of "&amp;I$4,Pivot!$A$3,"Manufacturer",$B91),0)</f>
        <v>119.93089999999999</v>
      </c>
      <c r="J91" s="42">
        <f>IFERROR(GETPIVOTDATA("Sum of "&amp;J$4,Pivot!$A$3,"Manufacturer",$B91),0)</f>
        <v>6464.4499000000005</v>
      </c>
      <c r="K91" s="55">
        <f t="shared" si="8"/>
        <v>18.552375199009582</v>
      </c>
      <c r="M91" s="44">
        <f t="shared" si="9"/>
        <v>-0.309493087399486</v>
      </c>
      <c r="N91" s="44">
        <f t="shared" si="10"/>
        <v>-0.31790805796413313</v>
      </c>
      <c r="O91" s="44">
        <f t="shared" si="11"/>
        <v>1.2337003336428287E-2</v>
      </c>
    </row>
    <row r="92" spans="2:15" x14ac:dyDescent="0.15">
      <c r="B92" s="37" t="s">
        <v>806</v>
      </c>
      <c r="C92" s="42">
        <f>IFERROR(GETPIVOTDATA("Sum of "&amp;C$4,Pivot!$A$3,"Manufacturer",$B92),0)</f>
        <v>0.14579999999999999</v>
      </c>
      <c r="D92" s="42">
        <f>IFERROR(GETPIVOTDATA("Sum of "&amp;D$4,Pivot!$A$3,"Manufacturer",$B92),0)</f>
        <v>2.8886000000000003</v>
      </c>
      <c r="E92" s="55">
        <f t="shared" si="6"/>
        <v>50.474278197050467</v>
      </c>
      <c r="F92" s="42">
        <f>IFERROR(GETPIVOTDATA("Sum of "&amp;F$4,Pivot!$A$3,"Manufacturer",$B92),0)</f>
        <v>0.29949999999999999</v>
      </c>
      <c r="G92" s="42">
        <f>IFERROR(GETPIVOTDATA("Sum of "&amp;G$4,Pivot!$A$3,"Manufacturer",$B92),0)</f>
        <v>6.5742999999999991</v>
      </c>
      <c r="H92" s="55">
        <f t="shared" si="7"/>
        <v>45.556180886177998</v>
      </c>
      <c r="I92" s="42">
        <f>IFERROR(GETPIVOTDATA("Sum of "&amp;I$4,Pivot!$A$3,"Manufacturer",$B92),0)</f>
        <v>5.04E-2</v>
      </c>
      <c r="J92" s="42">
        <f>IFERROR(GETPIVOTDATA("Sum of "&amp;J$4,Pivot!$A$3,"Manufacturer",$B92),0)</f>
        <v>1.1331</v>
      </c>
      <c r="K92" s="55">
        <f t="shared" si="8"/>
        <v>44.47974583002383</v>
      </c>
      <c r="M92" s="44">
        <f t="shared" si="9"/>
        <v>1.054183813443073</v>
      </c>
      <c r="N92" s="44">
        <f t="shared" si="10"/>
        <v>1.2759468254517756</v>
      </c>
      <c r="O92" s="44">
        <f t="shared" si="11"/>
        <v>-9.7437694733787494E-2</v>
      </c>
    </row>
    <row r="93" spans="2:15" x14ac:dyDescent="0.15">
      <c r="B93" s="37" t="s">
        <v>807</v>
      </c>
      <c r="C93" s="42">
        <f>IFERROR(GETPIVOTDATA("Sum of "&amp;C$4,Pivot!$A$3,"Manufacturer",$B93),0)</f>
        <v>5.2523</v>
      </c>
      <c r="D93" s="42">
        <f>IFERROR(GETPIVOTDATA("Sum of "&amp;D$4,Pivot!$A$3,"Manufacturer",$B93),0)</f>
        <v>269.2595</v>
      </c>
      <c r="E93" s="55">
        <f t="shared" si="6"/>
        <v>19.506461239064915</v>
      </c>
      <c r="F93" s="42">
        <f>IFERROR(GETPIVOTDATA("Sum of "&amp;F$4,Pivot!$A$3,"Manufacturer",$B93),0)</f>
        <v>0</v>
      </c>
      <c r="G93" s="42">
        <f>IFERROR(GETPIVOTDATA("Sum of "&amp;G$4,Pivot!$A$3,"Manufacturer",$B93),0)</f>
        <v>0</v>
      </c>
      <c r="H93" s="55" t="str">
        <f t="shared" si="7"/>
        <v>n.a.</v>
      </c>
      <c r="I93" s="42">
        <f>IFERROR(GETPIVOTDATA("Sum of "&amp;I$4,Pivot!$A$3,"Manufacturer",$B93),0)</f>
        <v>0</v>
      </c>
      <c r="J93" s="42">
        <f>IFERROR(GETPIVOTDATA("Sum of "&amp;J$4,Pivot!$A$3,"Manufacturer",$B93),0)</f>
        <v>0</v>
      </c>
      <c r="K93" s="55" t="str">
        <f t="shared" si="8"/>
        <v>n.a.</v>
      </c>
      <c r="M93" s="44">
        <f t="shared" si="9"/>
        <v>-1</v>
      </c>
      <c r="N93" s="44">
        <f t="shared" si="10"/>
        <v>-1</v>
      </c>
      <c r="O93" s="44" t="str">
        <f t="shared" si="11"/>
        <v>n.a.</v>
      </c>
    </row>
    <row r="94" spans="2:15" x14ac:dyDescent="0.15">
      <c r="B94" s="37" t="s">
        <v>809</v>
      </c>
      <c r="C94" s="42">
        <f>IFERROR(GETPIVOTDATA("Sum of "&amp;C$4,Pivot!$A$3,"Manufacturer",$B94),0)</f>
        <v>0</v>
      </c>
      <c r="D94" s="42">
        <f>IFERROR(GETPIVOTDATA("Sum of "&amp;D$4,Pivot!$A$3,"Manufacturer",$B94),0)</f>
        <v>0</v>
      </c>
      <c r="E94" s="55" t="str">
        <f t="shared" si="6"/>
        <v>n.a.</v>
      </c>
      <c r="F94" s="42">
        <f>IFERROR(GETPIVOTDATA("Sum of "&amp;F$4,Pivot!$A$3,"Manufacturer",$B94),0)</f>
        <v>0</v>
      </c>
      <c r="G94" s="42">
        <f>IFERROR(GETPIVOTDATA("Sum of "&amp;G$4,Pivot!$A$3,"Manufacturer",$B94),0)</f>
        <v>0</v>
      </c>
      <c r="H94" s="55" t="str">
        <f t="shared" si="7"/>
        <v>n.a.</v>
      </c>
      <c r="I94" s="42">
        <f>IFERROR(GETPIVOTDATA("Sum of "&amp;I$4,Pivot!$A$3,"Manufacturer",$B94),0)</f>
        <v>3.1633</v>
      </c>
      <c r="J94" s="42">
        <f>IFERROR(GETPIVOTDATA("Sum of "&amp;J$4,Pivot!$A$3,"Manufacturer",$B94),0)</f>
        <v>171.71680000000001</v>
      </c>
      <c r="K94" s="55">
        <f t="shared" si="8"/>
        <v>18.42161046560383</v>
      </c>
      <c r="M94" s="44" t="str">
        <f t="shared" si="9"/>
        <v>n.a.</v>
      </c>
      <c r="N94" s="44" t="str">
        <f t="shared" si="10"/>
        <v>n.a.</v>
      </c>
      <c r="O94" s="44" t="str">
        <f t="shared" si="11"/>
        <v>n.a.</v>
      </c>
    </row>
    <row r="95" spans="2:15" x14ac:dyDescent="0.15">
      <c r="B95" s="37" t="s">
        <v>810</v>
      </c>
      <c r="C95" s="42">
        <f>IFERROR(GETPIVOTDATA("Sum of "&amp;C$4,Pivot!$A$3,"Manufacturer",$B95),0)</f>
        <v>55.096399999999996</v>
      </c>
      <c r="D95" s="42">
        <f>IFERROR(GETPIVOTDATA("Sum of "&amp;D$4,Pivot!$A$3,"Manufacturer",$B95),0)</f>
        <v>2000.4356</v>
      </c>
      <c r="E95" s="55">
        <f t="shared" si="6"/>
        <v>27.542201308554993</v>
      </c>
      <c r="F95" s="42">
        <f>IFERROR(GETPIVOTDATA("Sum of "&amp;F$4,Pivot!$A$3,"Manufacturer",$B95),0)</f>
        <v>43.348199999999991</v>
      </c>
      <c r="G95" s="42">
        <f>IFERROR(GETPIVOTDATA("Sum of "&amp;G$4,Pivot!$A$3,"Manufacturer",$B95),0)</f>
        <v>1647.0114000000001</v>
      </c>
      <c r="H95" s="55">
        <f t="shared" si="7"/>
        <v>26.319307808069809</v>
      </c>
      <c r="I95" s="42">
        <f>IFERROR(GETPIVOTDATA("Sum of "&amp;I$4,Pivot!$A$3,"Manufacturer",$B95),0)</f>
        <v>24.530200000000001</v>
      </c>
      <c r="J95" s="42">
        <f>IFERROR(GETPIVOTDATA("Sum of "&amp;J$4,Pivot!$A$3,"Manufacturer",$B95),0)</f>
        <v>929.35159999999996</v>
      </c>
      <c r="K95" s="55">
        <f t="shared" si="8"/>
        <v>26.394961820693052</v>
      </c>
      <c r="M95" s="44">
        <f t="shared" si="9"/>
        <v>-0.21322990249816698</v>
      </c>
      <c r="N95" s="44">
        <f t="shared" si="10"/>
        <v>-0.1766736204854582</v>
      </c>
      <c r="O95" s="44">
        <f t="shared" si="11"/>
        <v>-4.4400717531076106E-2</v>
      </c>
    </row>
    <row r="96" spans="2:15" x14ac:dyDescent="0.15">
      <c r="B96" s="37" t="s">
        <v>811</v>
      </c>
      <c r="C96" s="42">
        <f>IFERROR(GETPIVOTDATA("Sum of "&amp;C$4,Pivot!$A$3,"Manufacturer",$B96),0)</f>
        <v>34.924300000000002</v>
      </c>
      <c r="D96" s="42">
        <f>IFERROR(GETPIVOTDATA("Sum of "&amp;D$4,Pivot!$A$3,"Manufacturer",$B96),0)</f>
        <v>2361.752</v>
      </c>
      <c r="E96" s="55">
        <f t="shared" si="6"/>
        <v>14.787454398260275</v>
      </c>
      <c r="F96" s="42">
        <f>IFERROR(GETPIVOTDATA("Sum of "&amp;F$4,Pivot!$A$3,"Manufacturer",$B96),0)</f>
        <v>13.6989</v>
      </c>
      <c r="G96" s="42">
        <f>IFERROR(GETPIVOTDATA("Sum of "&amp;G$4,Pivot!$A$3,"Manufacturer",$B96),0)</f>
        <v>920.36569999999995</v>
      </c>
      <c r="H96" s="55">
        <f t="shared" si="7"/>
        <v>14.884192229241052</v>
      </c>
      <c r="I96" s="42">
        <f>IFERROR(GETPIVOTDATA("Sum of "&amp;I$4,Pivot!$A$3,"Manufacturer",$B96),0)</f>
        <v>2.1793999999999998</v>
      </c>
      <c r="J96" s="42">
        <f>IFERROR(GETPIVOTDATA("Sum of "&amp;J$4,Pivot!$A$3,"Manufacturer",$B96),0)</f>
        <v>151.65029999999999</v>
      </c>
      <c r="K96" s="55">
        <f t="shared" si="8"/>
        <v>14.371221158151352</v>
      </c>
      <c r="M96" s="44">
        <f t="shared" si="9"/>
        <v>-0.60775448613143279</v>
      </c>
      <c r="N96" s="44">
        <f t="shared" si="10"/>
        <v>-0.61030383376408703</v>
      </c>
      <c r="O96" s="44">
        <f t="shared" si="11"/>
        <v>6.5418853289689327E-3</v>
      </c>
    </row>
    <row r="97" spans="2:15" x14ac:dyDescent="0.15">
      <c r="B97" s="37" t="s">
        <v>812</v>
      </c>
      <c r="C97" s="42">
        <f>IFERROR(GETPIVOTDATA("Sum of "&amp;C$4,Pivot!$A$3,"Manufacturer",$B97),0)</f>
        <v>0</v>
      </c>
      <c r="D97" s="42">
        <f>IFERROR(GETPIVOTDATA("Sum of "&amp;D$4,Pivot!$A$3,"Manufacturer",$B97),0)</f>
        <v>0</v>
      </c>
      <c r="E97" s="55" t="str">
        <f t="shared" si="6"/>
        <v>n.a.</v>
      </c>
      <c r="F97" s="42">
        <f>IFERROR(GETPIVOTDATA("Sum of "&amp;F$4,Pivot!$A$3,"Manufacturer",$B97),0)</f>
        <v>0</v>
      </c>
      <c r="G97" s="42">
        <f>IFERROR(GETPIVOTDATA("Sum of "&amp;G$4,Pivot!$A$3,"Manufacturer",$B97),0)</f>
        <v>0</v>
      </c>
      <c r="H97" s="55" t="str">
        <f t="shared" si="7"/>
        <v>n.a.</v>
      </c>
      <c r="I97" s="42">
        <f>IFERROR(GETPIVOTDATA("Sum of "&amp;I$4,Pivot!$A$3,"Manufacturer",$B97),0)</f>
        <v>1.9407000000000001</v>
      </c>
      <c r="J97" s="42">
        <f>IFERROR(GETPIVOTDATA("Sum of "&amp;J$4,Pivot!$A$3,"Manufacturer",$B97),0)</f>
        <v>110.1146</v>
      </c>
      <c r="K97" s="55">
        <f t="shared" si="8"/>
        <v>17.62436588790224</v>
      </c>
      <c r="M97" s="44" t="str">
        <f t="shared" si="9"/>
        <v>n.a.</v>
      </c>
      <c r="N97" s="44" t="str">
        <f t="shared" si="10"/>
        <v>n.a.</v>
      </c>
      <c r="O97" s="44" t="str">
        <f t="shared" si="11"/>
        <v>n.a.</v>
      </c>
    </row>
    <row r="98" spans="2:15" x14ac:dyDescent="0.15">
      <c r="B98" s="37" t="s">
        <v>813</v>
      </c>
      <c r="C98" s="42">
        <f>IFERROR(GETPIVOTDATA("Sum of "&amp;C$4,Pivot!$A$3,"Manufacturer",$B98),0)</f>
        <v>2.0785999999999998</v>
      </c>
      <c r="D98" s="42">
        <f>IFERROR(GETPIVOTDATA("Sum of "&amp;D$4,Pivot!$A$3,"Manufacturer",$B98),0)</f>
        <v>104.04649999999999</v>
      </c>
      <c r="E98" s="55">
        <f t="shared" si="6"/>
        <v>19.977606166473642</v>
      </c>
      <c r="F98" s="42">
        <f>IFERROR(GETPIVOTDATA("Sum of "&amp;F$4,Pivot!$A$3,"Manufacturer",$B98),0)</f>
        <v>7.1199999999999999E-2</v>
      </c>
      <c r="G98" s="42">
        <f>IFERROR(GETPIVOTDATA("Sum of "&amp;G$4,Pivot!$A$3,"Manufacturer",$B98),0)</f>
        <v>3.8216000000000001</v>
      </c>
      <c r="H98" s="55">
        <f t="shared" si="7"/>
        <v>18.630939920452164</v>
      </c>
      <c r="I98" s="42">
        <f>IFERROR(GETPIVOTDATA("Sum of "&amp;I$4,Pivot!$A$3,"Manufacturer",$B98),0)</f>
        <v>0</v>
      </c>
      <c r="J98" s="42">
        <f>IFERROR(GETPIVOTDATA("Sum of "&amp;J$4,Pivot!$A$3,"Manufacturer",$B98),0)</f>
        <v>0</v>
      </c>
      <c r="K98" s="55" t="str">
        <f t="shared" si="8"/>
        <v>n.a.</v>
      </c>
      <c r="M98" s="44">
        <f t="shared" si="9"/>
        <v>-0.96574617531030504</v>
      </c>
      <c r="N98" s="44">
        <f t="shared" si="10"/>
        <v>-0.96327026858183595</v>
      </c>
      <c r="O98" s="44">
        <f t="shared" si="11"/>
        <v>-6.7408789361432575E-2</v>
      </c>
    </row>
    <row r="99" spans="2:15" x14ac:dyDescent="0.15">
      <c r="B99" s="37" t="s">
        <v>814</v>
      </c>
      <c r="C99" s="42">
        <f>IFERROR(GETPIVOTDATA("Sum of "&amp;C$4,Pivot!$A$3,"Manufacturer",$B99),0)</f>
        <v>0</v>
      </c>
      <c r="D99" s="42">
        <f>IFERROR(GETPIVOTDATA("Sum of "&amp;D$4,Pivot!$A$3,"Manufacturer",$B99),0)</f>
        <v>0</v>
      </c>
      <c r="E99" s="55" t="str">
        <f t="shared" si="6"/>
        <v>n.a.</v>
      </c>
      <c r="F99" s="42">
        <f>IFERROR(GETPIVOTDATA("Sum of "&amp;F$4,Pivot!$A$3,"Manufacturer",$B99),0)</f>
        <v>5.9899999999999995E-2</v>
      </c>
      <c r="G99" s="42">
        <f>IFERROR(GETPIVOTDATA("Sum of "&amp;G$4,Pivot!$A$3,"Manufacturer",$B99),0)</f>
        <v>3.96</v>
      </c>
      <c r="H99" s="55">
        <f t="shared" si="7"/>
        <v>15.126262626262625</v>
      </c>
      <c r="I99" s="42">
        <f>IFERROR(GETPIVOTDATA("Sum of "&amp;I$4,Pivot!$A$3,"Manufacturer",$B99),0)</f>
        <v>22.319899999999997</v>
      </c>
      <c r="J99" s="42">
        <f>IFERROR(GETPIVOTDATA("Sum of "&amp;J$4,Pivot!$A$3,"Manufacturer",$B99),0)</f>
        <v>1362.7346</v>
      </c>
      <c r="K99" s="55">
        <f t="shared" si="8"/>
        <v>16.378757830027943</v>
      </c>
      <c r="M99" s="44" t="str">
        <f t="shared" si="9"/>
        <v>n.a.</v>
      </c>
      <c r="N99" s="44" t="str">
        <f t="shared" si="10"/>
        <v>n.a.</v>
      </c>
      <c r="O99" s="44" t="str">
        <f t="shared" si="11"/>
        <v>n.a.</v>
      </c>
    </row>
    <row r="100" spans="2:15" x14ac:dyDescent="0.15">
      <c r="B100" s="37" t="s">
        <v>816</v>
      </c>
      <c r="C100" s="42">
        <f>IFERROR(GETPIVOTDATA("Sum of "&amp;C$4,Pivot!$A$3,"Manufacturer",$B100),0)</f>
        <v>25.839099999999998</v>
      </c>
      <c r="D100" s="42">
        <f>IFERROR(GETPIVOTDATA("Sum of "&amp;D$4,Pivot!$A$3,"Manufacturer",$B100),0)</f>
        <v>1539.4739</v>
      </c>
      <c r="E100" s="55">
        <f t="shared" si="6"/>
        <v>16.784370296891684</v>
      </c>
      <c r="F100" s="42">
        <f>IFERROR(GETPIVOTDATA("Sum of "&amp;F$4,Pivot!$A$3,"Manufacturer",$B100),0)</f>
        <v>9.0121000000000002</v>
      </c>
      <c r="G100" s="42">
        <f>IFERROR(GETPIVOTDATA("Sum of "&amp;G$4,Pivot!$A$3,"Manufacturer",$B100),0)</f>
        <v>509.45670000000001</v>
      </c>
      <c r="H100" s="55">
        <f t="shared" si="7"/>
        <v>17.689628971412095</v>
      </c>
      <c r="I100" s="42">
        <f>IFERROR(GETPIVOTDATA("Sum of "&amp;I$4,Pivot!$A$3,"Manufacturer",$B100),0)</f>
        <v>10.0204</v>
      </c>
      <c r="J100" s="42">
        <f>IFERROR(GETPIVOTDATA("Sum of "&amp;J$4,Pivot!$A$3,"Manufacturer",$B100),0)</f>
        <v>585.52229999999997</v>
      </c>
      <c r="K100" s="55">
        <f t="shared" si="8"/>
        <v>17.113609507272397</v>
      </c>
      <c r="M100" s="44">
        <f t="shared" si="9"/>
        <v>-0.65122237229624869</v>
      </c>
      <c r="N100" s="44">
        <f t="shared" si="10"/>
        <v>-0.66907090792510349</v>
      </c>
      <c r="O100" s="44">
        <f t="shared" si="11"/>
        <v>5.3934622420005685E-2</v>
      </c>
    </row>
    <row r="101" spans="2:15" x14ac:dyDescent="0.15">
      <c r="B101" s="37" t="s">
        <v>817</v>
      </c>
      <c r="C101" s="42">
        <f>IFERROR(GETPIVOTDATA("Sum of "&amp;C$4,Pivot!$A$3,"Manufacturer",$B101),0)</f>
        <v>19.4956</v>
      </c>
      <c r="D101" s="42">
        <f>IFERROR(GETPIVOTDATA("Sum of "&amp;D$4,Pivot!$A$3,"Manufacturer",$B101),0)</f>
        <v>286.04970000000003</v>
      </c>
      <c r="E101" s="55">
        <f t="shared" si="6"/>
        <v>68.15458991916438</v>
      </c>
      <c r="F101" s="42">
        <f>IFERROR(GETPIVOTDATA("Sum of "&amp;F$4,Pivot!$A$3,"Manufacturer",$B101),0)</f>
        <v>39.761499999999998</v>
      </c>
      <c r="G101" s="42">
        <f>IFERROR(GETPIVOTDATA("Sum of "&amp;G$4,Pivot!$A$3,"Manufacturer",$B101),0)</f>
        <v>652.10879999999997</v>
      </c>
      <c r="H101" s="55">
        <f t="shared" si="7"/>
        <v>60.973720949632941</v>
      </c>
      <c r="I101" s="42">
        <f>IFERROR(GETPIVOTDATA("Sum of "&amp;I$4,Pivot!$A$3,"Manufacturer",$B101),0)</f>
        <v>26.269500000000001</v>
      </c>
      <c r="J101" s="42">
        <f>IFERROR(GETPIVOTDATA("Sum of "&amp;J$4,Pivot!$A$3,"Manufacturer",$B101),0)</f>
        <v>499.83789999999999</v>
      </c>
      <c r="K101" s="55">
        <f t="shared" si="8"/>
        <v>52.556038667736082</v>
      </c>
      <c r="M101" s="44">
        <f t="shared" si="9"/>
        <v>1.039511479513326</v>
      </c>
      <c r="N101" s="44">
        <f t="shared" si="10"/>
        <v>1.2797045408542638</v>
      </c>
      <c r="O101" s="44">
        <f t="shared" si="11"/>
        <v>-0.10536148743684615</v>
      </c>
    </row>
    <row r="102" spans="2:15" x14ac:dyDescent="0.15">
      <c r="B102" s="37" t="s">
        <v>818</v>
      </c>
      <c r="C102" s="42">
        <f>IFERROR(GETPIVOTDATA("Sum of "&amp;C$4,Pivot!$A$3,"Manufacturer",$B102),0)</f>
        <v>1.8396999999999999</v>
      </c>
      <c r="D102" s="42">
        <f>IFERROR(GETPIVOTDATA("Sum of "&amp;D$4,Pivot!$A$3,"Manufacturer",$B102),0)</f>
        <v>115.49760000000001</v>
      </c>
      <c r="E102" s="55">
        <f t="shared" si="6"/>
        <v>15.928469509323136</v>
      </c>
      <c r="F102" s="42">
        <f>IFERROR(GETPIVOTDATA("Sum of "&amp;F$4,Pivot!$A$3,"Manufacturer",$B102),0)</f>
        <v>4.3616000000000001</v>
      </c>
      <c r="G102" s="42">
        <f>IFERROR(GETPIVOTDATA("Sum of "&amp;G$4,Pivot!$A$3,"Manufacturer",$B102),0)</f>
        <v>300.46589999999998</v>
      </c>
      <c r="H102" s="55">
        <f t="shared" si="7"/>
        <v>14.516123127449738</v>
      </c>
      <c r="I102" s="42">
        <f>IFERROR(GETPIVOTDATA("Sum of "&amp;I$4,Pivot!$A$3,"Manufacturer",$B102),0)</f>
        <v>0</v>
      </c>
      <c r="J102" s="42">
        <f>IFERROR(GETPIVOTDATA("Sum of "&amp;J$4,Pivot!$A$3,"Manufacturer",$B102),0)</f>
        <v>0</v>
      </c>
      <c r="K102" s="55" t="str">
        <f t="shared" si="8"/>
        <v>n.a.</v>
      </c>
      <c r="M102" s="44">
        <f t="shared" si="9"/>
        <v>1.370821329564603</v>
      </c>
      <c r="N102" s="44">
        <f t="shared" si="10"/>
        <v>1.6014904205801677</v>
      </c>
      <c r="O102" s="44">
        <f t="shared" si="11"/>
        <v>-8.8668053201642061E-2</v>
      </c>
    </row>
    <row r="103" spans="2:15" ht="14" thickBot="1" x14ac:dyDescent="0.2">
      <c r="B103" s="50" t="s">
        <v>1034</v>
      </c>
      <c r="C103" s="51">
        <f>SUM(C5:C102)</f>
        <v>11880.158900000006</v>
      </c>
      <c r="D103" s="51">
        <f t="shared" ref="D103:J103" si="12">SUM(D5:D102)</f>
        <v>470247.92700000008</v>
      </c>
      <c r="E103" s="52">
        <f t="shared" si="6"/>
        <v>25.26360716950062</v>
      </c>
      <c r="F103" s="51">
        <f t="shared" si="12"/>
        <v>12264.847400000002</v>
      </c>
      <c r="G103" s="51">
        <f t="shared" si="12"/>
        <v>475047.06150000019</v>
      </c>
      <c r="H103" s="52">
        <f t="shared" si="7"/>
        <v>25.8181733853331</v>
      </c>
      <c r="I103" s="51">
        <f t="shared" si="12"/>
        <v>6590.0513000000019</v>
      </c>
      <c r="J103" s="51">
        <f t="shared" si="12"/>
        <v>239949.39960000006</v>
      </c>
      <c r="K103" s="52">
        <f t="shared" si="8"/>
        <v>27.464337526935825</v>
      </c>
      <c r="L103" s="54"/>
      <c r="M103" s="53">
        <f t="shared" ref="M103" si="13">IFERROR(F103/C103-1,"n.a.")</f>
        <v>3.2380753762476733E-2</v>
      </c>
      <c r="N103" s="53">
        <f t="shared" ref="N103" si="14">IFERROR(G103/D103-1,"n.a.")</f>
        <v>1.0205541001778951E-2</v>
      </c>
      <c r="O103" s="53">
        <f t="shared" ref="O103" si="15">IFERROR(H103/E103-1,"n.a.")</f>
        <v>2.1951189001306881E-2</v>
      </c>
    </row>
  </sheetData>
  <mergeCells count="1">
    <mergeCell ref="M3:O3"/>
  </mergeCells>
  <conditionalFormatting sqref="O5:O102">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Source</vt:lpstr>
      <vt:lpstr>Structured Source</vt:lpstr>
      <vt:lpstr>Pivot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NewPC20</dc:creator>
  <cp:lastModifiedBy>Vishal Srinivasan</cp:lastModifiedBy>
  <dcterms:created xsi:type="dcterms:W3CDTF">2023-06-30T13:31:58Z</dcterms:created>
  <dcterms:modified xsi:type="dcterms:W3CDTF">2026-03-24T13:51:29Z</dcterms:modified>
</cp:coreProperties>
</file>