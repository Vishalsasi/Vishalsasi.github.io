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zrael/Desktop/365 finance/"/>
    </mc:Choice>
  </mc:AlternateContent>
  <xr:revisionPtr revIDLastSave="0" documentId="13_ncr:1_{E8AB2081-1D77-0C4E-B921-B764C8E359F3}" xr6:coauthVersionLast="47" xr6:coauthVersionMax="47" xr10:uidLastSave="{00000000-0000-0000-0000-000000000000}"/>
  <bookViews>
    <workbookView xWindow="0" yWindow="0" windowWidth="51200" windowHeight="28800" xr2:uid="{CBF60871-7E2B-9E4B-B776-DC000EB65A54}"/>
  </bookViews>
  <sheets>
    <sheet name="Index" sheetId="17" r:id="rId1"/>
    <sheet name="P&amp;L" sheetId="1" r:id="rId2"/>
    <sheet name="Common Size P&amp;L" sheetId="15" r:id="rId3"/>
    <sheet name="Balance Sheet" sheetId="2" r:id="rId4"/>
    <sheet name="Common Size Balance Sheet " sheetId="16" r:id="rId5"/>
    <sheet name="Cash Flow Statement" sheetId="5" r:id="rId6"/>
    <sheet name="Statement of Changes In Equity" sheetId="6" r:id="rId7"/>
    <sheet name="Activity Ratios" sheetId="7" r:id="rId8"/>
    <sheet name="Liquidity Ratios" sheetId="8" r:id="rId9"/>
    <sheet name="Solvency Ratios" sheetId="9" r:id="rId10"/>
    <sheet name="Profitability Ratios" sheetId="10" r:id="rId11"/>
    <sheet name="Valuation Ratios" sheetId="11" r:id="rId12"/>
    <sheet name="Dupont Analysis" sheetId="12" r:id="rId13"/>
    <sheet name="Altman's Credit Score" sheetId="13" r:id="rId14"/>
    <sheet name="Segment Reporting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6" l="1"/>
  <c r="D6" i="16"/>
  <c r="E6" i="16"/>
  <c r="F6" i="16"/>
  <c r="C7" i="16"/>
  <c r="D7" i="16"/>
  <c r="E7" i="16"/>
  <c r="I7" i="16" s="1"/>
  <c r="F7" i="16"/>
  <c r="J7" i="16" s="1"/>
  <c r="C8" i="16"/>
  <c r="D8" i="16"/>
  <c r="H8" i="16" s="1"/>
  <c r="E8" i="16"/>
  <c r="F8" i="16"/>
  <c r="C9" i="16"/>
  <c r="D9" i="16"/>
  <c r="I9" i="16" s="1"/>
  <c r="E9" i="16"/>
  <c r="F9" i="16"/>
  <c r="C10" i="16"/>
  <c r="D10" i="16"/>
  <c r="H10" i="16" s="1"/>
  <c r="E10" i="16"/>
  <c r="F10" i="16"/>
  <c r="J10" i="16" s="1"/>
  <c r="C11" i="16"/>
  <c r="D11" i="16"/>
  <c r="E11" i="16"/>
  <c r="F11" i="16"/>
  <c r="C12" i="16"/>
  <c r="D12" i="16"/>
  <c r="E12" i="16"/>
  <c r="F12" i="16"/>
  <c r="C13" i="16"/>
  <c r="D13" i="16"/>
  <c r="I13" i="16" s="1"/>
  <c r="E13" i="16"/>
  <c r="F13" i="16"/>
  <c r="C14" i="16"/>
  <c r="D14" i="16"/>
  <c r="E14" i="16"/>
  <c r="F14" i="16"/>
  <c r="C15" i="16"/>
  <c r="D15" i="16"/>
  <c r="E15" i="16"/>
  <c r="F15" i="16"/>
  <c r="C16" i="16"/>
  <c r="D16" i="16"/>
  <c r="E16" i="16"/>
  <c r="F16" i="16"/>
  <c r="C17" i="16"/>
  <c r="D17" i="16"/>
  <c r="E17" i="16"/>
  <c r="F17" i="16"/>
  <c r="C20" i="16"/>
  <c r="D20" i="16"/>
  <c r="H20" i="16" s="1"/>
  <c r="E20" i="16"/>
  <c r="F20" i="16"/>
  <c r="J20" i="16" s="1"/>
  <c r="C21" i="16"/>
  <c r="D21" i="16"/>
  <c r="E21" i="16"/>
  <c r="I21" i="16" s="1"/>
  <c r="F21" i="16"/>
  <c r="J21" i="16" s="1"/>
  <c r="C22" i="16"/>
  <c r="D22" i="16"/>
  <c r="E22" i="16"/>
  <c r="F22" i="16"/>
  <c r="J22" i="16" s="1"/>
  <c r="C23" i="16"/>
  <c r="D23" i="16"/>
  <c r="I23" i="16" s="1"/>
  <c r="E23" i="16"/>
  <c r="F23" i="16"/>
  <c r="C24" i="16"/>
  <c r="D24" i="16"/>
  <c r="I24" i="16" s="1"/>
  <c r="E24" i="16"/>
  <c r="F24" i="16"/>
  <c r="C25" i="16"/>
  <c r="D25" i="16"/>
  <c r="E25" i="16"/>
  <c r="F25" i="16"/>
  <c r="C26" i="16"/>
  <c r="D26" i="16"/>
  <c r="E26" i="16"/>
  <c r="F26" i="16"/>
  <c r="C27" i="16"/>
  <c r="D27" i="16"/>
  <c r="E27" i="16"/>
  <c r="F27" i="16"/>
  <c r="C28" i="16"/>
  <c r="D28" i="16"/>
  <c r="H28" i="16" s="1"/>
  <c r="C29" i="16"/>
  <c r="D29" i="16"/>
  <c r="I29" i="16" s="1"/>
  <c r="E29" i="16"/>
  <c r="F29" i="16"/>
  <c r="J29" i="16" s="1"/>
  <c r="C31" i="16"/>
  <c r="D31" i="16"/>
  <c r="E31" i="16"/>
  <c r="I31" i="16" s="1"/>
  <c r="F31" i="16"/>
  <c r="C36" i="16"/>
  <c r="D36" i="16"/>
  <c r="E36" i="16"/>
  <c r="F36" i="16"/>
  <c r="C37" i="16"/>
  <c r="D37" i="16"/>
  <c r="E37" i="16"/>
  <c r="F37" i="16"/>
  <c r="J37" i="16" s="1"/>
  <c r="C38" i="16"/>
  <c r="D38" i="16"/>
  <c r="I38" i="16" s="1"/>
  <c r="E38" i="16"/>
  <c r="F38" i="16"/>
  <c r="C39" i="16"/>
  <c r="D39" i="16"/>
  <c r="I39" i="16" s="1"/>
  <c r="E39" i="16"/>
  <c r="F39" i="16"/>
  <c r="C40" i="16"/>
  <c r="D40" i="16"/>
  <c r="H40" i="16" s="1"/>
  <c r="E40" i="16"/>
  <c r="F40" i="16"/>
  <c r="C41" i="16"/>
  <c r="D41" i="16"/>
  <c r="E41" i="16"/>
  <c r="F41" i="16"/>
  <c r="C42" i="16"/>
  <c r="D42" i="16"/>
  <c r="E42" i="16"/>
  <c r="I42" i="16" s="1"/>
  <c r="F42" i="16"/>
  <c r="C43" i="16"/>
  <c r="D43" i="16"/>
  <c r="I43" i="16" s="1"/>
  <c r="E43" i="16"/>
  <c r="F43" i="16"/>
  <c r="C46" i="16"/>
  <c r="D46" i="16"/>
  <c r="E46" i="16"/>
  <c r="F46" i="16"/>
  <c r="C47" i="16"/>
  <c r="D47" i="16"/>
  <c r="E47" i="16"/>
  <c r="F47" i="16"/>
  <c r="C48" i="16"/>
  <c r="D48" i="16"/>
  <c r="I48" i="16" s="1"/>
  <c r="E48" i="16"/>
  <c r="F48" i="16"/>
  <c r="C49" i="16"/>
  <c r="D49" i="16"/>
  <c r="E49" i="16"/>
  <c r="F49" i="16"/>
  <c r="C50" i="16"/>
  <c r="D50" i="16"/>
  <c r="H50" i="16" s="1"/>
  <c r="E50" i="16"/>
  <c r="I50" i="16" s="1"/>
  <c r="F50" i="16"/>
  <c r="J50" i="16" s="1"/>
  <c r="C51" i="16"/>
  <c r="D51" i="16"/>
  <c r="E51" i="16"/>
  <c r="F51" i="16"/>
  <c r="C52" i="16"/>
  <c r="D52" i="16"/>
  <c r="E52" i="16"/>
  <c r="I52" i="16" s="1"/>
  <c r="F52" i="16"/>
  <c r="J52" i="16" s="1"/>
  <c r="C53" i="16"/>
  <c r="D53" i="16"/>
  <c r="H53" i="16" s="1"/>
  <c r="E53" i="16"/>
  <c r="F53" i="16"/>
  <c r="C56" i="16"/>
  <c r="D56" i="16"/>
  <c r="E56" i="16"/>
  <c r="F56" i="16"/>
  <c r="J56" i="16" s="1"/>
  <c r="C57" i="16"/>
  <c r="D57" i="16"/>
  <c r="E57" i="16"/>
  <c r="I57" i="16" s="1"/>
  <c r="F57" i="16"/>
  <c r="J57" i="16" s="1"/>
  <c r="C58" i="16"/>
  <c r="D58" i="16"/>
  <c r="I58" i="16" s="1"/>
  <c r="E58" i="16"/>
  <c r="F58" i="16"/>
  <c r="C59" i="16"/>
  <c r="D59" i="16"/>
  <c r="H59" i="16" s="1"/>
  <c r="E59" i="16"/>
  <c r="F59" i="16"/>
  <c r="C60" i="16"/>
  <c r="D60" i="16"/>
  <c r="E60" i="16"/>
  <c r="F60" i="16"/>
  <c r="J60" i="16" s="1"/>
  <c r="C61" i="16"/>
  <c r="D61" i="16"/>
  <c r="E61" i="16"/>
  <c r="F61" i="16"/>
  <c r="J61" i="16" s="1"/>
  <c r="C62" i="16"/>
  <c r="D62" i="16"/>
  <c r="E62" i="16"/>
  <c r="I62" i="16" s="1"/>
  <c r="F62" i="16"/>
  <c r="J62" i="16" s="1"/>
  <c r="C63" i="16"/>
  <c r="D63" i="16"/>
  <c r="H63" i="16" s="1"/>
  <c r="C64" i="16"/>
  <c r="D64" i="16"/>
  <c r="I64" i="16" s="1"/>
  <c r="E64" i="16"/>
  <c r="F64" i="16"/>
  <c r="C66" i="16"/>
  <c r="D66" i="16"/>
  <c r="E66" i="16"/>
  <c r="F66" i="16"/>
  <c r="C68" i="16"/>
  <c r="D68" i="16"/>
  <c r="I68" i="16" s="1"/>
  <c r="E68" i="16"/>
  <c r="F68" i="16"/>
  <c r="I6" i="16"/>
  <c r="J6" i="16"/>
  <c r="I12" i="16"/>
  <c r="J12" i="16"/>
  <c r="J17" i="16"/>
  <c r="I22" i="16"/>
  <c r="I27" i="16"/>
  <c r="J27" i="16"/>
  <c r="I37" i="16"/>
  <c r="J40" i="16"/>
  <c r="I47" i="16"/>
  <c r="J47" i="16"/>
  <c r="H49" i="16"/>
  <c r="J59" i="16"/>
  <c r="H60" i="16"/>
  <c r="I60" i="16"/>
  <c r="J64" i="16"/>
  <c r="J14" i="16"/>
  <c r="J31" i="16"/>
  <c r="J58" i="16"/>
  <c r="J9" i="16"/>
  <c r="J24" i="16"/>
  <c r="J39" i="16"/>
  <c r="I49" i="16"/>
  <c r="J53" i="16"/>
  <c r="J68" i="16"/>
  <c r="I14" i="16"/>
  <c r="H21" i="16"/>
  <c r="H52" i="16"/>
  <c r="H11" i="16"/>
  <c r="H41" i="16"/>
  <c r="H51" i="16"/>
  <c r="H62" i="16"/>
  <c r="H57" i="16"/>
  <c r="J49" i="16"/>
  <c r="J48" i="16"/>
  <c r="H47" i="16"/>
  <c r="J43" i="16"/>
  <c r="I40" i="16"/>
  <c r="J38" i="16"/>
  <c r="H37" i="16"/>
  <c r="H31" i="16"/>
  <c r="H27" i="16"/>
  <c r="J23" i="16"/>
  <c r="I17" i="16"/>
  <c r="H17" i="16"/>
  <c r="J13" i="16"/>
  <c r="J8" i="16"/>
  <c r="H7" i="16"/>
  <c r="H6" i="16"/>
  <c r="D26" i="15"/>
  <c r="E26" i="15"/>
  <c r="F26" i="15"/>
  <c r="D25" i="15"/>
  <c r="E25" i="15"/>
  <c r="F25" i="15"/>
  <c r="D24" i="15"/>
  <c r="E24" i="15"/>
  <c r="F24" i="15"/>
  <c r="C26" i="15"/>
  <c r="C25" i="15"/>
  <c r="C24" i="15"/>
  <c r="F5" i="15"/>
  <c r="F6" i="15"/>
  <c r="F7" i="15"/>
  <c r="F8" i="15"/>
  <c r="F9" i="15"/>
  <c r="F10" i="15"/>
  <c r="F11" i="15"/>
  <c r="J11" i="15" s="1"/>
  <c r="F12" i="15"/>
  <c r="F13" i="15"/>
  <c r="F14" i="15"/>
  <c r="F15" i="15"/>
  <c r="F16" i="15"/>
  <c r="F17" i="15"/>
  <c r="F18" i="15"/>
  <c r="F19" i="15"/>
  <c r="F20" i="15"/>
  <c r="J20" i="15" s="1"/>
  <c r="F21" i="15"/>
  <c r="F4" i="15"/>
  <c r="J4" i="15" s="1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I18" i="15" s="1"/>
  <c r="E19" i="15"/>
  <c r="E20" i="15"/>
  <c r="E21" i="15"/>
  <c r="E4" i="15"/>
  <c r="D5" i="15"/>
  <c r="D6" i="15"/>
  <c r="D7" i="15"/>
  <c r="D8" i="15"/>
  <c r="D9" i="15"/>
  <c r="D10" i="15"/>
  <c r="D11" i="15"/>
  <c r="I11" i="15" s="1"/>
  <c r="D12" i="15"/>
  <c r="D13" i="15"/>
  <c r="D14" i="15"/>
  <c r="D15" i="15"/>
  <c r="D16" i="15"/>
  <c r="D17" i="15"/>
  <c r="D18" i="15"/>
  <c r="D19" i="15"/>
  <c r="H19" i="15" s="1"/>
  <c r="D20" i="15"/>
  <c r="I20" i="15" s="1"/>
  <c r="D21" i="15"/>
  <c r="D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4" i="15"/>
  <c r="I21" i="15"/>
  <c r="J19" i="15"/>
  <c r="J18" i="15"/>
  <c r="I17" i="15"/>
  <c r="H17" i="15"/>
  <c r="J16" i="15"/>
  <c r="I16" i="15"/>
  <c r="H16" i="15"/>
  <c r="J15" i="15"/>
  <c r="I15" i="15"/>
  <c r="H15" i="15"/>
  <c r="J10" i="15"/>
  <c r="I10" i="15"/>
  <c r="J9" i="15"/>
  <c r="I9" i="15"/>
  <c r="H9" i="15"/>
  <c r="I7" i="15"/>
  <c r="H7" i="15"/>
  <c r="J6" i="15"/>
  <c r="I6" i="15"/>
  <c r="H6" i="15"/>
  <c r="J5" i="15"/>
  <c r="I5" i="15"/>
  <c r="H5" i="15"/>
  <c r="I4" i="15"/>
  <c r="H4" i="15"/>
  <c r="H58" i="16" l="1"/>
  <c r="H29" i="16"/>
  <c r="H9" i="16"/>
  <c r="H68" i="16"/>
  <c r="I8" i="16"/>
  <c r="H38" i="16"/>
  <c r="H48" i="16"/>
  <c r="H39" i="16"/>
  <c r="J42" i="16"/>
  <c r="J51" i="16"/>
  <c r="J41" i="16"/>
  <c r="J11" i="16"/>
  <c r="J36" i="16"/>
  <c r="J16" i="16"/>
  <c r="J66" i="16"/>
  <c r="J46" i="16"/>
  <c r="J26" i="16"/>
  <c r="J25" i="16"/>
  <c r="J15" i="16"/>
  <c r="I15" i="16"/>
  <c r="I61" i="16"/>
  <c r="I51" i="16"/>
  <c r="I41" i="16"/>
  <c r="I20" i="16"/>
  <c r="I10" i="16"/>
  <c r="I59" i="16"/>
  <c r="I66" i="16"/>
  <c r="I16" i="16"/>
  <c r="I11" i="16"/>
  <c r="I53" i="16"/>
  <c r="I56" i="16"/>
  <c r="I46" i="16"/>
  <c r="I36" i="16"/>
  <c r="I26" i="16"/>
  <c r="I25" i="16"/>
  <c r="H13" i="16"/>
  <c r="H23" i="16"/>
  <c r="H66" i="16"/>
  <c r="H46" i="16"/>
  <c r="H26" i="16"/>
  <c r="H25" i="16"/>
  <c r="H14" i="16"/>
  <c r="H64" i="16"/>
  <c r="H24" i="16"/>
  <c r="H43" i="16"/>
  <c r="H56" i="16"/>
  <c r="H36" i="16"/>
  <c r="H16" i="16"/>
  <c r="H15" i="16"/>
  <c r="H61" i="16"/>
  <c r="H42" i="16"/>
  <c r="H22" i="16"/>
  <c r="H12" i="16"/>
  <c r="J14" i="15"/>
  <c r="J12" i="15"/>
  <c r="J21" i="15"/>
  <c r="J8" i="15"/>
  <c r="J13" i="15"/>
  <c r="J17" i="15"/>
  <c r="J7" i="15"/>
  <c r="I12" i="15"/>
  <c r="I13" i="15"/>
  <c r="I8" i="15"/>
  <c r="I14" i="15"/>
  <c r="H14" i="15"/>
  <c r="H13" i="15"/>
  <c r="H21" i="15"/>
  <c r="H20" i="15"/>
  <c r="I19" i="15"/>
  <c r="H12" i="15"/>
  <c r="H18" i="15"/>
  <c r="H8" i="15"/>
  <c r="H11" i="15"/>
  <c r="H10" i="15"/>
  <c r="G6" i="14"/>
  <c r="G7" i="14"/>
  <c r="G8" i="14"/>
  <c r="G9" i="14"/>
  <c r="G10" i="14"/>
  <c r="G5" i="14"/>
  <c r="F6" i="14"/>
  <c r="F7" i="14"/>
  <c r="F8" i="14"/>
  <c r="F9" i="14"/>
  <c r="F10" i="14"/>
  <c r="F5" i="14"/>
  <c r="L6" i="14"/>
  <c r="L7" i="14"/>
  <c r="L8" i="14"/>
  <c r="L9" i="14"/>
  <c r="L10" i="14"/>
  <c r="L5" i="14"/>
  <c r="K6" i="14"/>
  <c r="K7" i="14"/>
  <c r="K8" i="14"/>
  <c r="K9" i="14"/>
  <c r="K10" i="14"/>
  <c r="K5" i="14"/>
  <c r="Q6" i="14"/>
  <c r="Q7" i="14"/>
  <c r="Q8" i="14"/>
  <c r="Q9" i="14"/>
  <c r="Q10" i="14"/>
  <c r="Q5" i="14"/>
  <c r="P6" i="14"/>
  <c r="P7" i="14"/>
  <c r="P8" i="14"/>
  <c r="P9" i="14"/>
  <c r="P10" i="14"/>
  <c r="P5" i="14"/>
  <c r="F9" i="13"/>
  <c r="H9" i="13"/>
  <c r="D9" i="13"/>
  <c r="H8" i="13"/>
  <c r="F8" i="13"/>
  <c r="D8" i="13"/>
  <c r="F7" i="13"/>
  <c r="H7" i="13"/>
  <c r="D7" i="13"/>
  <c r="H6" i="13"/>
  <c r="I6" i="13" s="1"/>
  <c r="F6" i="13"/>
  <c r="D6" i="13"/>
  <c r="I9" i="13"/>
  <c r="I8" i="13"/>
  <c r="I7" i="13"/>
  <c r="G9" i="13"/>
  <c r="G8" i="13"/>
  <c r="E9" i="13"/>
  <c r="E8" i="13"/>
  <c r="G7" i="13"/>
  <c r="E7" i="13"/>
  <c r="E10" i="13" s="1"/>
  <c r="G6" i="13"/>
  <c r="E6" i="13"/>
  <c r="I5" i="13"/>
  <c r="G5" i="13"/>
  <c r="E5" i="13"/>
  <c r="H5" i="13"/>
  <c r="F5" i="13"/>
  <c r="D5" i="13"/>
  <c r="E30" i="12"/>
  <c r="E29" i="12"/>
  <c r="E28" i="12"/>
  <c r="G30" i="12"/>
  <c r="G29" i="12"/>
  <c r="G28" i="12"/>
  <c r="I30" i="12"/>
  <c r="I29" i="12"/>
  <c r="I28" i="12"/>
  <c r="I20" i="12"/>
  <c r="I19" i="12"/>
  <c r="I18" i="12"/>
  <c r="G20" i="12"/>
  <c r="G19" i="12"/>
  <c r="G18" i="12"/>
  <c r="E20" i="12"/>
  <c r="E19" i="12"/>
  <c r="E18" i="12"/>
  <c r="G10" i="12"/>
  <c r="G9" i="12"/>
  <c r="G8" i="12"/>
  <c r="E10" i="12"/>
  <c r="C20" i="12" s="1"/>
  <c r="E9" i="12"/>
  <c r="C19" i="12" s="1"/>
  <c r="E8" i="12"/>
  <c r="C18" i="12" s="1"/>
  <c r="M30" i="12"/>
  <c r="K30" i="12"/>
  <c r="M29" i="12"/>
  <c r="K29" i="12"/>
  <c r="M28" i="12"/>
  <c r="K28" i="12"/>
  <c r="C8" i="12"/>
  <c r="O41" i="11"/>
  <c r="K41" i="11"/>
  <c r="G41" i="11"/>
  <c r="M37" i="11"/>
  <c r="I37" i="11"/>
  <c r="E37" i="11"/>
  <c r="M38" i="11"/>
  <c r="I38" i="11"/>
  <c r="E38" i="11"/>
  <c r="I33" i="11"/>
  <c r="M33" i="11"/>
  <c r="E33" i="11"/>
  <c r="D40" i="1"/>
  <c r="E40" i="1"/>
  <c r="F40" i="1"/>
  <c r="C40" i="1"/>
  <c r="M34" i="11"/>
  <c r="I34" i="11"/>
  <c r="E34" i="11"/>
  <c r="I29" i="11"/>
  <c r="M29" i="11"/>
  <c r="E29" i="11"/>
  <c r="M30" i="11"/>
  <c r="I30" i="11"/>
  <c r="E30" i="11"/>
  <c r="O29" i="11"/>
  <c r="K29" i="11"/>
  <c r="G29" i="11"/>
  <c r="I25" i="11"/>
  <c r="M25" i="11"/>
  <c r="E25" i="11"/>
  <c r="M26" i="11"/>
  <c r="O25" i="11" s="1"/>
  <c r="I26" i="11"/>
  <c r="K25" i="11" s="1"/>
  <c r="E26" i="11"/>
  <c r="I21" i="11"/>
  <c r="M21" i="11"/>
  <c r="O21" i="11" s="1"/>
  <c r="E21" i="11"/>
  <c r="G21" i="11" s="1"/>
  <c r="I22" i="11"/>
  <c r="M22" i="11"/>
  <c r="E22" i="11"/>
  <c r="C35" i="1"/>
  <c r="M17" i="11"/>
  <c r="I17" i="11"/>
  <c r="E17" i="11"/>
  <c r="M13" i="11"/>
  <c r="I13" i="11"/>
  <c r="K13" i="11" s="1"/>
  <c r="I18" i="11" s="1"/>
  <c r="E13" i="11"/>
  <c r="G13" i="11" s="1"/>
  <c r="E18" i="11" s="1"/>
  <c r="M14" i="11"/>
  <c r="I14" i="11"/>
  <c r="E14" i="11"/>
  <c r="I9" i="11"/>
  <c r="M9" i="11"/>
  <c r="E9" i="11"/>
  <c r="M5" i="11"/>
  <c r="I5" i="11"/>
  <c r="E5" i="11"/>
  <c r="I6" i="11"/>
  <c r="M6" i="11"/>
  <c r="E6" i="11"/>
  <c r="O33" i="11"/>
  <c r="G33" i="11"/>
  <c r="M34" i="10"/>
  <c r="I34" i="10"/>
  <c r="E34" i="10"/>
  <c r="M33" i="10"/>
  <c r="O33" i="10" s="1"/>
  <c r="I33" i="10"/>
  <c r="K33" i="10" s="1"/>
  <c r="E33" i="10"/>
  <c r="G33" i="10" s="1"/>
  <c r="M30" i="10"/>
  <c r="I30" i="10"/>
  <c r="E30" i="10"/>
  <c r="M29" i="10"/>
  <c r="O29" i="10" s="1"/>
  <c r="M25" i="10"/>
  <c r="I29" i="10"/>
  <c r="E29" i="10"/>
  <c r="M26" i="10"/>
  <c r="I26" i="10"/>
  <c r="E26" i="10"/>
  <c r="I25" i="10"/>
  <c r="K25" i="10" s="1"/>
  <c r="E25" i="10"/>
  <c r="M22" i="10"/>
  <c r="I22" i="10"/>
  <c r="E22" i="10"/>
  <c r="M21" i="10"/>
  <c r="O21" i="10" s="1"/>
  <c r="I21" i="10"/>
  <c r="K21" i="10" s="1"/>
  <c r="E21" i="10"/>
  <c r="G21" i="10" s="1"/>
  <c r="M17" i="10"/>
  <c r="I17" i="10"/>
  <c r="E17" i="10"/>
  <c r="M18" i="10"/>
  <c r="I18" i="10"/>
  <c r="E18" i="10"/>
  <c r="I13" i="10"/>
  <c r="M13" i="10"/>
  <c r="E13" i="10"/>
  <c r="M14" i="10"/>
  <c r="I14" i="10"/>
  <c r="E14" i="10"/>
  <c r="I9" i="10"/>
  <c r="M9" i="10"/>
  <c r="E9" i="10"/>
  <c r="M10" i="10"/>
  <c r="I10" i="10"/>
  <c r="E10" i="10"/>
  <c r="M5" i="10"/>
  <c r="I5" i="10"/>
  <c r="E5" i="10"/>
  <c r="M6" i="10"/>
  <c r="I6" i="10"/>
  <c r="E6" i="10"/>
  <c r="M26" i="9"/>
  <c r="I26" i="9"/>
  <c r="M25" i="9"/>
  <c r="I25" i="9"/>
  <c r="E26" i="9"/>
  <c r="E25" i="9"/>
  <c r="M22" i="9"/>
  <c r="I22" i="9"/>
  <c r="M21" i="9"/>
  <c r="I21" i="9"/>
  <c r="E22" i="9"/>
  <c r="E21" i="9"/>
  <c r="G21" i="9" s="1"/>
  <c r="I18" i="9"/>
  <c r="M18" i="9"/>
  <c r="E18" i="9"/>
  <c r="I17" i="9"/>
  <c r="K17" i="9" s="1"/>
  <c r="M17" i="9"/>
  <c r="E17" i="9"/>
  <c r="M14" i="9"/>
  <c r="I14" i="9"/>
  <c r="E14" i="9"/>
  <c r="M13" i="9"/>
  <c r="I13" i="9"/>
  <c r="E13" i="9"/>
  <c r="M10" i="9"/>
  <c r="I10" i="9"/>
  <c r="E10" i="9"/>
  <c r="G9" i="9" s="1"/>
  <c r="M6" i="9"/>
  <c r="I6" i="9"/>
  <c r="M9" i="9"/>
  <c r="I9" i="9"/>
  <c r="K9" i="9" s="1"/>
  <c r="E9" i="9"/>
  <c r="E6" i="9"/>
  <c r="G5" i="9" s="1"/>
  <c r="M5" i="9"/>
  <c r="I5" i="9"/>
  <c r="E5" i="9"/>
  <c r="O13" i="9"/>
  <c r="O9" i="9"/>
  <c r="O5" i="9"/>
  <c r="G25" i="9"/>
  <c r="K13" i="9"/>
  <c r="G13" i="9"/>
  <c r="M17" i="8"/>
  <c r="I17" i="8"/>
  <c r="E17" i="8"/>
  <c r="M18" i="8"/>
  <c r="O17" i="8" s="1"/>
  <c r="I18" i="8"/>
  <c r="K17" i="8" s="1"/>
  <c r="E18" i="8"/>
  <c r="G17" i="8" s="1"/>
  <c r="M14" i="8"/>
  <c r="M13" i="8"/>
  <c r="I13" i="8"/>
  <c r="E13" i="8"/>
  <c r="G13" i="8" s="1"/>
  <c r="I14" i="8"/>
  <c r="E14" i="8"/>
  <c r="M9" i="8"/>
  <c r="I9" i="8"/>
  <c r="E9" i="8"/>
  <c r="M10" i="8"/>
  <c r="I10" i="8"/>
  <c r="E10" i="8"/>
  <c r="M5" i="8"/>
  <c r="M6" i="8"/>
  <c r="I5" i="8"/>
  <c r="I6" i="8"/>
  <c r="E5" i="8"/>
  <c r="E6" i="8"/>
  <c r="O5" i="8"/>
  <c r="K5" i="8"/>
  <c r="G5" i="8"/>
  <c r="O9" i="8"/>
  <c r="M48" i="7"/>
  <c r="M49" i="7"/>
  <c r="I48" i="7"/>
  <c r="K48" i="7" s="1"/>
  <c r="I49" i="7"/>
  <c r="E48" i="7"/>
  <c r="G48" i="7" s="1"/>
  <c r="E49" i="7"/>
  <c r="M37" i="7"/>
  <c r="O37" i="7" s="1"/>
  <c r="M38" i="7"/>
  <c r="I37" i="7"/>
  <c r="I38" i="7"/>
  <c r="E37" i="7"/>
  <c r="E38" i="7"/>
  <c r="M33" i="7"/>
  <c r="M34" i="7"/>
  <c r="I33" i="7"/>
  <c r="I34" i="7"/>
  <c r="E33" i="7"/>
  <c r="E34" i="7"/>
  <c r="M29" i="7"/>
  <c r="O29" i="7" s="1"/>
  <c r="M30" i="7"/>
  <c r="I29" i="7"/>
  <c r="I30" i="7"/>
  <c r="E29" i="7"/>
  <c r="G29" i="7" s="1"/>
  <c r="E30" i="7"/>
  <c r="M6" i="7"/>
  <c r="I6" i="7"/>
  <c r="E6" i="7"/>
  <c r="M21" i="7"/>
  <c r="O21" i="7" s="1"/>
  <c r="M26" i="7" s="1"/>
  <c r="O25" i="7" s="1"/>
  <c r="M45" i="7" s="1"/>
  <c r="M22" i="7"/>
  <c r="I21" i="7"/>
  <c r="I22" i="7"/>
  <c r="E21" i="7"/>
  <c r="E22" i="7"/>
  <c r="G21" i="7" s="1"/>
  <c r="E26" i="7" s="1"/>
  <c r="G25" i="7" s="1"/>
  <c r="E45" i="7" s="1"/>
  <c r="M13" i="7"/>
  <c r="M14" i="7"/>
  <c r="O13" i="7" s="1"/>
  <c r="M18" i="7" s="1"/>
  <c r="O17" i="7" s="1"/>
  <c r="M43" i="7" s="1"/>
  <c r="I13" i="7"/>
  <c r="I14" i="7"/>
  <c r="E13" i="7"/>
  <c r="E14" i="7"/>
  <c r="M5" i="7"/>
  <c r="I5" i="7"/>
  <c r="K5" i="7" s="1"/>
  <c r="I10" i="7" s="1"/>
  <c r="K9" i="7" s="1"/>
  <c r="I41" i="7" s="1"/>
  <c r="E5" i="7"/>
  <c r="I10" i="13" l="1"/>
  <c r="G10" i="13"/>
  <c r="C30" i="12"/>
  <c r="C10" i="12"/>
  <c r="C29" i="12"/>
  <c r="C28" i="12"/>
  <c r="C9" i="12"/>
  <c r="K33" i="11"/>
  <c r="O13" i="11"/>
  <c r="M18" i="11" s="1"/>
  <c r="O17" i="11" s="1"/>
  <c r="K9" i="10"/>
  <c r="K17" i="10"/>
  <c r="O9" i="10"/>
  <c r="K29" i="10"/>
  <c r="G17" i="10"/>
  <c r="K13" i="10"/>
  <c r="K17" i="11"/>
  <c r="G17" i="11"/>
  <c r="O5" i="11"/>
  <c r="M10" i="11" s="1"/>
  <c r="O9" i="11" s="1"/>
  <c r="G5" i="11"/>
  <c r="E10" i="11" s="1"/>
  <c r="G9" i="11" s="1"/>
  <c r="K5" i="11"/>
  <c r="I10" i="11" s="1"/>
  <c r="K21" i="11"/>
  <c r="O37" i="11"/>
  <c r="G37" i="11"/>
  <c r="K37" i="11"/>
  <c r="G25" i="11"/>
  <c r="O21" i="9"/>
  <c r="K21" i="9"/>
  <c r="G9" i="10"/>
  <c r="O17" i="9"/>
  <c r="G13" i="7"/>
  <c r="E18" i="7" s="1"/>
  <c r="G17" i="7" s="1"/>
  <c r="E43" i="7" s="1"/>
  <c r="K29" i="7"/>
  <c r="G37" i="7"/>
  <c r="O48" i="7"/>
  <c r="G29" i="10"/>
  <c r="G5" i="10"/>
  <c r="K37" i="7"/>
  <c r="K5" i="10"/>
  <c r="O5" i="10"/>
  <c r="G13" i="10"/>
  <c r="O5" i="7"/>
  <c r="M10" i="7" s="1"/>
  <c r="O9" i="7" s="1"/>
  <c r="M41" i="7" s="1"/>
  <c r="O41" i="7" s="1"/>
  <c r="G17" i="9"/>
  <c r="O33" i="7"/>
  <c r="K33" i="7"/>
  <c r="O17" i="10"/>
  <c r="O13" i="10"/>
  <c r="K9" i="11"/>
  <c r="O25" i="10"/>
  <c r="G25" i="10"/>
  <c r="O25" i="9"/>
  <c r="K25" i="9"/>
  <c r="K5" i="9"/>
  <c r="O13" i="8"/>
  <c r="G9" i="8"/>
  <c r="K13" i="8"/>
  <c r="K9" i="8"/>
  <c r="G33" i="7"/>
  <c r="K21" i="7"/>
  <c r="I26" i="7" s="1"/>
  <c r="K25" i="7" s="1"/>
  <c r="I45" i="7" s="1"/>
  <c r="K13" i="7"/>
  <c r="I18" i="7" s="1"/>
  <c r="K17" i="7" s="1"/>
  <c r="I43" i="7" s="1"/>
  <c r="G5" i="7"/>
  <c r="E10" i="7" s="1"/>
  <c r="G9" i="7" s="1"/>
  <c r="E41" i="7" s="1"/>
  <c r="G41" i="7" l="1"/>
  <c r="K41" i="7"/>
  <c r="H5" i="5" l="1"/>
  <c r="I5" i="5"/>
  <c r="J5" i="5"/>
  <c r="H6" i="5"/>
  <c r="I6" i="5"/>
  <c r="J6" i="5"/>
  <c r="H7" i="5"/>
  <c r="I7" i="5"/>
  <c r="J7" i="5"/>
  <c r="H8" i="5"/>
  <c r="I8" i="5"/>
  <c r="J8" i="5"/>
  <c r="H9" i="5"/>
  <c r="I9" i="5"/>
  <c r="J9" i="5"/>
  <c r="H10" i="5"/>
  <c r="I10" i="5"/>
  <c r="J10" i="5"/>
  <c r="H11" i="5"/>
  <c r="I11" i="5"/>
  <c r="J11" i="5"/>
  <c r="H12" i="5"/>
  <c r="I12" i="5"/>
  <c r="J12" i="5"/>
  <c r="H13" i="5"/>
  <c r="I13" i="5"/>
  <c r="J13" i="5"/>
  <c r="H14" i="5"/>
  <c r="I14" i="5"/>
  <c r="J14" i="5"/>
  <c r="H15" i="5"/>
  <c r="I15" i="5"/>
  <c r="J15" i="5"/>
  <c r="H16" i="5"/>
  <c r="I16" i="5"/>
  <c r="J16" i="5"/>
  <c r="H17" i="5"/>
  <c r="I17" i="5"/>
  <c r="J17" i="5"/>
  <c r="H18" i="5"/>
  <c r="I18" i="5"/>
  <c r="J18" i="5"/>
  <c r="H19" i="5"/>
  <c r="I19" i="5"/>
  <c r="J19" i="5"/>
  <c r="H20" i="5"/>
  <c r="I20" i="5"/>
  <c r="J20" i="5"/>
  <c r="H21" i="5"/>
  <c r="I21" i="5"/>
  <c r="J21" i="5"/>
  <c r="H22" i="5"/>
  <c r="I22" i="5"/>
  <c r="J22" i="5"/>
  <c r="H23" i="5"/>
  <c r="I23" i="5"/>
  <c r="J23" i="5"/>
  <c r="H24" i="5"/>
  <c r="I24" i="5"/>
  <c r="J24" i="5"/>
  <c r="H25" i="5"/>
  <c r="I25" i="5"/>
  <c r="J25" i="5"/>
  <c r="H26" i="5"/>
  <c r="I26" i="5"/>
  <c r="J26" i="5"/>
  <c r="H27" i="5"/>
  <c r="I27" i="5"/>
  <c r="J27" i="5"/>
  <c r="H28" i="5"/>
  <c r="I28" i="5"/>
  <c r="J28" i="5"/>
  <c r="H29" i="5"/>
  <c r="I29" i="5"/>
  <c r="J29" i="5"/>
  <c r="H30" i="5"/>
  <c r="I30" i="5"/>
  <c r="J30" i="5"/>
  <c r="H31" i="5"/>
  <c r="I31" i="5"/>
  <c r="J31" i="5"/>
  <c r="H32" i="5"/>
  <c r="I32" i="5"/>
  <c r="J32" i="5"/>
  <c r="H33" i="5"/>
  <c r="H34" i="5"/>
  <c r="I34" i="5"/>
  <c r="J34" i="5"/>
  <c r="H35" i="5"/>
  <c r="I35" i="5"/>
  <c r="J35" i="5"/>
  <c r="J36" i="5"/>
  <c r="J37" i="5"/>
  <c r="H38" i="5"/>
  <c r="I38" i="5"/>
  <c r="J38" i="5"/>
  <c r="H39" i="5"/>
  <c r="I39" i="5"/>
  <c r="J39" i="5"/>
  <c r="H40" i="5"/>
  <c r="I40" i="5"/>
  <c r="J40" i="5"/>
  <c r="H41" i="5"/>
  <c r="I41" i="5"/>
  <c r="J41" i="5"/>
  <c r="H42" i="5"/>
  <c r="I42" i="5"/>
  <c r="J42" i="5"/>
  <c r="H43" i="5"/>
  <c r="I43" i="5"/>
  <c r="J43" i="5"/>
  <c r="H44" i="5"/>
  <c r="I44" i="5"/>
  <c r="J44" i="5"/>
  <c r="H45" i="5"/>
  <c r="I45" i="5"/>
  <c r="J45" i="5"/>
  <c r="H46" i="5"/>
  <c r="I46" i="5"/>
  <c r="J46" i="5"/>
  <c r="H47" i="5"/>
  <c r="I47" i="5"/>
  <c r="J47" i="5"/>
  <c r="H48" i="5"/>
  <c r="I48" i="5"/>
  <c r="J48" i="5"/>
  <c r="I4" i="5"/>
  <c r="J4" i="5"/>
  <c r="H4" i="5"/>
  <c r="I68" i="2"/>
  <c r="J68" i="2"/>
  <c r="H68" i="2"/>
  <c r="I66" i="2"/>
  <c r="J66" i="2"/>
  <c r="H66" i="2"/>
  <c r="H57" i="2"/>
  <c r="I57" i="2"/>
  <c r="J57" i="2"/>
  <c r="H58" i="2"/>
  <c r="I58" i="2"/>
  <c r="J58" i="2"/>
  <c r="H59" i="2"/>
  <c r="I59" i="2"/>
  <c r="J59" i="2"/>
  <c r="H60" i="2"/>
  <c r="I60" i="2"/>
  <c r="J60" i="2"/>
  <c r="H61" i="2"/>
  <c r="I61" i="2"/>
  <c r="J61" i="2"/>
  <c r="H62" i="2"/>
  <c r="I62" i="2"/>
  <c r="J62" i="2"/>
  <c r="H63" i="2"/>
  <c r="H64" i="2"/>
  <c r="I64" i="2"/>
  <c r="J64" i="2"/>
  <c r="I56" i="2"/>
  <c r="J56" i="2"/>
  <c r="H56" i="2"/>
  <c r="H47" i="2"/>
  <c r="I47" i="2"/>
  <c r="J47" i="2"/>
  <c r="H48" i="2"/>
  <c r="I48" i="2"/>
  <c r="J48" i="2"/>
  <c r="H49" i="2"/>
  <c r="I49" i="2"/>
  <c r="J49" i="2"/>
  <c r="H50" i="2"/>
  <c r="I50" i="2"/>
  <c r="J50" i="2"/>
  <c r="H51" i="2"/>
  <c r="I51" i="2"/>
  <c r="J51" i="2"/>
  <c r="H52" i="2"/>
  <c r="I52" i="2"/>
  <c r="J52" i="2"/>
  <c r="H53" i="2"/>
  <c r="I53" i="2"/>
  <c r="J53" i="2"/>
  <c r="I46" i="2"/>
  <c r="J46" i="2"/>
  <c r="H46" i="2"/>
  <c r="H37" i="2"/>
  <c r="I37" i="2"/>
  <c r="J37" i="2"/>
  <c r="H38" i="2"/>
  <c r="I38" i="2"/>
  <c r="J38" i="2"/>
  <c r="H39" i="2"/>
  <c r="I39" i="2"/>
  <c r="J39" i="2"/>
  <c r="H40" i="2"/>
  <c r="I40" i="2"/>
  <c r="J40" i="2"/>
  <c r="H41" i="2"/>
  <c r="I41" i="2"/>
  <c r="J41" i="2"/>
  <c r="H42" i="2"/>
  <c r="I42" i="2"/>
  <c r="J42" i="2"/>
  <c r="H43" i="2"/>
  <c r="I43" i="2"/>
  <c r="J43" i="2"/>
  <c r="I36" i="2"/>
  <c r="J36" i="2"/>
  <c r="H36" i="2"/>
  <c r="I31" i="2"/>
  <c r="J31" i="2"/>
  <c r="H31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H29" i="2"/>
  <c r="I29" i="2"/>
  <c r="J29" i="2"/>
  <c r="I20" i="2"/>
  <c r="J20" i="2"/>
  <c r="H20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I6" i="2"/>
  <c r="J6" i="2"/>
  <c r="H6" i="2"/>
  <c r="H5" i="1" l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I4" i="1"/>
  <c r="J4" i="1"/>
  <c r="H4" i="1"/>
  <c r="C18" i="1"/>
</calcChain>
</file>

<file path=xl/sharedStrings.xml><?xml version="1.0" encoding="utf-8"?>
<sst xmlns="http://schemas.openxmlformats.org/spreadsheetml/2006/main" count="1064" uniqueCount="376">
  <si>
    <t>P&amp;L</t>
  </si>
  <si>
    <t>Distribution expenses </t>
  </si>
  <si>
    <t>Administrative expenses </t>
  </si>
  <si>
    <t>Other operating income </t>
  </si>
  <si>
    <t>Other operating expenses </t>
  </si>
  <si>
    <t>Share of the result of equity-accounted investments </t>
  </si>
  <si>
    <t>Interest income </t>
  </si>
  <si>
    <t>Interest expenses </t>
  </si>
  <si>
    <t>Other financial result </t>
  </si>
  <si>
    <t>Financial result </t>
  </si>
  <si>
    <t>Income tax income/expense </t>
  </si>
  <si>
    <t>Current </t>
  </si>
  <si>
    <t>Deferred </t>
  </si>
  <si>
    <t>Revenue </t>
  </si>
  <si>
    <t>Cost of Goods sold(COGS)</t>
  </si>
  <si>
    <t>Gross Profit</t>
  </si>
  <si>
    <t>Operating Profit</t>
  </si>
  <si>
    <t>Earnings before tax (EBT)</t>
  </si>
  <si>
    <t>Net Income</t>
  </si>
  <si>
    <t>€ in Millions</t>
  </si>
  <si>
    <t>Var23-22%</t>
  </si>
  <si>
    <t>Var24-23%</t>
  </si>
  <si>
    <t>Var25-24%</t>
  </si>
  <si>
    <t>Balance Sheet</t>
  </si>
  <si>
    <t>Assets</t>
  </si>
  <si>
    <t>Non-Current Assets</t>
  </si>
  <si>
    <t>Property, plant and equipment </t>
  </si>
  <si>
    <t>Lease assets </t>
  </si>
  <si>
    <t>Investment property</t>
  </si>
  <si>
    <t>Equity-accounted investments</t>
  </si>
  <si>
    <t>Other equity investments </t>
  </si>
  <si>
    <t>Financial services receivables </t>
  </si>
  <si>
    <t>Other financial assets </t>
  </si>
  <si>
    <t>Other receivables</t>
  </si>
  <si>
    <t>Tax receivables</t>
  </si>
  <si>
    <t>Deferred tax assets </t>
  </si>
  <si>
    <t>Current assets</t>
  </si>
  <si>
    <t>Inventories</t>
  </si>
  <si>
    <t>Trade receivables</t>
  </si>
  <si>
    <t>Marketable securities and time deposits </t>
  </si>
  <si>
    <t>Cash and cash equivalents </t>
  </si>
  <si>
    <t>Assets held for sale </t>
  </si>
  <si>
    <t>Total assets </t>
  </si>
  <si>
    <t>Equity and liabilities</t>
  </si>
  <si>
    <t>Equity </t>
  </si>
  <si>
    <t>Subscribed capital </t>
  </si>
  <si>
    <t>Capital reserve </t>
  </si>
  <si>
    <t>Retained earnings </t>
  </si>
  <si>
    <t>Other reserves </t>
  </si>
  <si>
    <t>Equity attributable to Volkswagen AG hybrid capital investors </t>
  </si>
  <si>
    <t>Equity attributable to Volkswagen AG shareholders and hybrid capital investors </t>
  </si>
  <si>
    <t>Noncontrolling interests </t>
  </si>
  <si>
    <t>Noncurrent liabilities</t>
  </si>
  <si>
    <t>Financial liabilities </t>
  </si>
  <si>
    <t>Other financial liabilities </t>
  </si>
  <si>
    <t>Other liabilities </t>
  </si>
  <si>
    <t>Deferred tax liabilities </t>
  </si>
  <si>
    <t>Provisions for pensions </t>
  </si>
  <si>
    <t>Provisions for taxes </t>
  </si>
  <si>
    <t>Other provisions </t>
  </si>
  <si>
    <t>Current liabilities</t>
  </si>
  <si>
    <t>Trade payables </t>
  </si>
  <si>
    <t>Tax payables </t>
  </si>
  <si>
    <t>Liabilities associated with assets held for sale </t>
  </si>
  <si>
    <t>Total equity and liabilities </t>
  </si>
  <si>
    <t>Total Liabilities</t>
  </si>
  <si>
    <t>Total Current liabilities</t>
  </si>
  <si>
    <t>Total Noncurrent liabilities</t>
  </si>
  <si>
    <t>Total Equity</t>
  </si>
  <si>
    <t>Total Current assets</t>
  </si>
  <si>
    <t>Total Non-Current Assets</t>
  </si>
  <si>
    <t>Intangible assets</t>
  </si>
  <si>
    <t>Cash Flow Statement</t>
  </si>
  <si>
    <t xml:space="preserve">Cash and cash equivalents at beginning of period </t>
  </si>
  <si>
    <t xml:space="preserve">Earnings before tax  </t>
  </si>
  <si>
    <t>Depreciation and amortization of, and impairment losses on, intangible assets, property, plant and equipment,and Investment Property</t>
  </si>
  <si>
    <t>Investments in intangible assets (excluding development costs), property, plant and equipment, and investment Property</t>
  </si>
  <si>
    <t>Income taxes paid</t>
  </si>
  <si>
    <t>Amortization of and impairment losses on capitalized development costs</t>
  </si>
  <si>
    <t>Impairment losses on equity investments</t>
  </si>
  <si>
    <t>Depreciation of and impairment losses on lease assets</t>
  </si>
  <si>
    <t>Gain/loss on disposal of noncurrent assets and equity investments</t>
  </si>
  <si>
    <t>Share of the result of equity-accounted investments</t>
  </si>
  <si>
    <t>Other non-cash expense/income</t>
  </si>
  <si>
    <t>Change in inventories</t>
  </si>
  <si>
    <t>Change in receivables (excluding financial services)</t>
  </si>
  <si>
    <t>Change in liabilities (excluding financial liabilities)</t>
  </si>
  <si>
    <t>Change in provisions</t>
  </si>
  <si>
    <t>Change in lease assets</t>
  </si>
  <si>
    <t>Change in financial services receivables</t>
  </si>
  <si>
    <t>Cash flows from operating activities</t>
  </si>
  <si>
    <t>Additions to capitalized development costs</t>
  </si>
  <si>
    <t>Acquisition of subsidiaries</t>
  </si>
  <si>
    <t>Acquisition of other equity investments</t>
  </si>
  <si>
    <t>Disposal of subsidiaries</t>
  </si>
  <si>
    <t>Disposal of other equity investments</t>
  </si>
  <si>
    <t>Proceeds from disposal of intangible assets, property, plant and equipment, and investment property</t>
  </si>
  <si>
    <t>Change in investments in securities and time deposits</t>
  </si>
  <si>
    <t>Change in loans</t>
  </si>
  <si>
    <t>Cash flows from investing activities</t>
  </si>
  <si>
    <t>Capital contributions/capital redemptions</t>
  </si>
  <si>
    <t>Dividends paid</t>
  </si>
  <si>
    <t>Capital transactions with noncontrolling interest shareholders</t>
  </si>
  <si>
    <t>Proceeds from issuance of bonds</t>
  </si>
  <si>
    <t>Repayments of bonds</t>
  </si>
  <si>
    <t>Changes in other financial liabilities</t>
  </si>
  <si>
    <t>Repayments of lease liabilities</t>
  </si>
  <si>
    <t>Cash flows from financing activities</t>
  </si>
  <si>
    <t>Effect of exchange rate changes on cash and cash equivalents</t>
  </si>
  <si>
    <t>Change of loss allowance within cash and cash equivalents</t>
  </si>
  <si>
    <t>Net change in cash and cash equivalents</t>
  </si>
  <si>
    <t>Cash and cash equivalents at end of period</t>
  </si>
  <si>
    <t>Securities and time deposits and loans</t>
  </si>
  <si>
    <t>Gross liquidity</t>
  </si>
  <si>
    <t>Total third-party borrowings</t>
  </si>
  <si>
    <t>Net liquidity</t>
  </si>
  <si>
    <t>-</t>
  </si>
  <si>
    <t>Proceeds from issuance of commercial paper and notes</t>
  </si>
  <si>
    <t>Repayments of commercial paper and notes</t>
  </si>
  <si>
    <t>Statement of Changes in Equity</t>
  </si>
  <si>
    <t>Subscribed Capital</t>
  </si>
  <si>
    <t>Capital Revenue</t>
  </si>
  <si>
    <t>Retained Earnings</t>
  </si>
  <si>
    <t>Currency Translation Reserve</t>
  </si>
  <si>
    <t xml:space="preserve">Cash Flow Hedges(OCI I)  </t>
  </si>
  <si>
    <t>Deferred Costs of Hedging(OCI II)</t>
  </si>
  <si>
    <t>Equity and debt instruments</t>
  </si>
  <si>
    <t>Equity attributable to Volkswagen AG hybrid capital investors</t>
  </si>
  <si>
    <t>Equity attributable to Volkswagen AG shareholders and hybrid capital investors</t>
  </si>
  <si>
    <t xml:space="preserve">Noncontrolling interests </t>
  </si>
  <si>
    <t>Total equity</t>
  </si>
  <si>
    <t>Unadjusted balance at Jan. 1, 2022</t>
  </si>
  <si>
    <t>Changes in accounting policy to reflect IFRS 17</t>
  </si>
  <si>
    <t>Balance at Jan. 1, 2022</t>
  </si>
  <si>
    <t>Earnings after tax</t>
  </si>
  <si>
    <t>Other comprehensive income, net of tax</t>
  </si>
  <si>
    <t>Total comprehensive income</t>
  </si>
  <si>
    <t>Disposal of equity instruments</t>
  </si>
  <si>
    <t>Capital increases/Capital decreases</t>
  </si>
  <si>
    <t>Dividends payment</t>
  </si>
  <si>
    <t>Capital transactions involving a change in ownership interest</t>
  </si>
  <si>
    <t>Other changes</t>
  </si>
  <si>
    <t>Unadjusted balance at Jan. 1, 2023</t>
  </si>
  <si>
    <t>Balance at Jan. 1, 2023</t>
  </si>
  <si>
    <t>Balance at Dec. 31, 2023</t>
  </si>
  <si>
    <t>Balance at Dec. 31, 2022</t>
  </si>
  <si>
    <t>Unadjusted balance at Jan. 1, 2024</t>
  </si>
  <si>
    <t>Prior-year corrections in accordance with IAS 8 </t>
  </si>
  <si>
    <t>Balance at Jan. 1, 2024</t>
  </si>
  <si>
    <t>Balance at Dec. 31, 2024</t>
  </si>
  <si>
    <t>Balance at Jan. 1, 2025</t>
  </si>
  <si>
    <t>Balance at Dec. 31, 2025</t>
  </si>
  <si>
    <t>Activity Ratios</t>
  </si>
  <si>
    <t>Ratio</t>
  </si>
  <si>
    <t>Meaning</t>
  </si>
  <si>
    <t>1. Receivables turnover =</t>
  </si>
  <si>
    <t>annual sales</t>
  </si>
  <si>
    <t>=</t>
  </si>
  <si>
    <t>The efficiency of a company in collecting its trade receivables</t>
  </si>
  <si>
    <t>average receivables</t>
  </si>
  <si>
    <t xml:space="preserve">2. Days of sales outstanding = </t>
  </si>
  <si>
    <t>The average number of days a company takes to collect its receivables from clients</t>
  </si>
  <si>
    <t>receivables turnover</t>
  </si>
  <si>
    <t>3. Inventory turnover =</t>
  </si>
  <si>
    <t>cost of goods sold</t>
  </si>
  <si>
    <t>The efficiency of a company in terms of inventory management</t>
  </si>
  <si>
    <t>average inventory</t>
  </si>
  <si>
    <t>4. Days of inventory on hand =</t>
  </si>
  <si>
    <t>The average inventory processing period</t>
  </si>
  <si>
    <t>inventory turnover</t>
  </si>
  <si>
    <t>5. Payables turnover =</t>
  </si>
  <si>
    <t>purchases</t>
  </si>
  <si>
    <t>The efficiency of a company in allowing trade credit to suppliers</t>
  </si>
  <si>
    <t>* Purchases = ending inventory – beginning inventory + cost of goods sold</t>
  </si>
  <si>
    <t>average trade payables</t>
  </si>
  <si>
    <t>6. Number of days of payables =</t>
  </si>
  <si>
    <t xml:space="preserve">The average number of days a company takes to pay its suppliers </t>
  </si>
  <si>
    <t>payables turnover</t>
  </si>
  <si>
    <t>7. Fixed assets turnover =</t>
  </si>
  <si>
    <t>revenue</t>
  </si>
  <si>
    <t>The efficiency of a firm in utilizing its fixed assets</t>
  </si>
  <si>
    <t>average net fixed assets</t>
  </si>
  <si>
    <t>8. Working capital turnover =</t>
  </si>
  <si>
    <t>The efficiency of a firm in managing its 
working capital (current assets - current liabilities)</t>
  </si>
  <si>
    <t>average working capital</t>
  </si>
  <si>
    <t>9. Total assets turnover =</t>
  </si>
  <si>
    <t>The efficiency of a firm in using its total assets to create revenue</t>
  </si>
  <si>
    <t>average total assets</t>
  </si>
  <si>
    <t xml:space="preserve">10. Cash conversion cycle = </t>
  </si>
  <si>
    <t>days of sales outstanding</t>
  </si>
  <si>
    <t>The number of days a company takes to convert its investments in inventory and other resources into cash flows from sales</t>
  </si>
  <si>
    <t>+</t>
  </si>
  <si>
    <t xml:space="preserve">plus: days of inventory on hand </t>
  </si>
  <si>
    <t>less: number of days of payables</t>
  </si>
  <si>
    <t>11. Equity turnover =</t>
  </si>
  <si>
    <t>The efficiency of a firm in utilizing equity to create revenue</t>
  </si>
  <si>
    <t>average total equity</t>
  </si>
  <si>
    <t>Year(2023)</t>
  </si>
  <si>
    <t>Year(2024)</t>
  </si>
  <si>
    <t>Year(2025)</t>
  </si>
  <si>
    <t>Liquidity Ratios</t>
  </si>
  <si>
    <t>1. Current ratio =</t>
  </si>
  <si>
    <t>current assets</t>
  </si>
  <si>
    <t>Ability to meet current liabilities 
(with total current assets)</t>
  </si>
  <si>
    <t>current liabilities</t>
  </si>
  <si>
    <t xml:space="preserve">2. Quick ratio = </t>
  </si>
  <si>
    <t>cash  + marketable securities + receivables</t>
  </si>
  <si>
    <t>Ability to meet current liabilities 
(with total current assets, excluding inventory)</t>
  </si>
  <si>
    <t xml:space="preserve">3. Cash ratio = </t>
  </si>
  <si>
    <t>cash  + marketable securities</t>
  </si>
  <si>
    <t>Ability to meet current liabilities 
(with cash and marketable securities only)</t>
  </si>
  <si>
    <t xml:space="preserve">4. Defensive interval = </t>
  </si>
  <si>
    <t>The number of days a company can cover its average daily expenses with the use of current liquid assets only</t>
  </si>
  <si>
    <t>average daily expenditure</t>
  </si>
  <si>
    <t>Avg Daily Expenidture = (COGS+Opex)/365</t>
  </si>
  <si>
    <t>Solvency Ratios</t>
  </si>
  <si>
    <t>1. Debt-to-equity =</t>
  </si>
  <si>
    <t>total debt</t>
  </si>
  <si>
    <t>total shareholder's equity</t>
  </si>
  <si>
    <t xml:space="preserve">2. Debt-to-capital = </t>
  </si>
  <si>
    <t>total debt + total shareholder's equity</t>
  </si>
  <si>
    <t xml:space="preserve">3. Debt-to-assets = </t>
  </si>
  <si>
    <t>total assets</t>
  </si>
  <si>
    <t xml:space="preserve">4. Interest coverage = </t>
  </si>
  <si>
    <t>earnings before interest and taxes</t>
  </si>
  <si>
    <t>interest payments</t>
  </si>
  <si>
    <t xml:space="preserve">5. Fixed charge coverage = </t>
  </si>
  <si>
    <t>earnings before interest and taxes + lease payments</t>
  </si>
  <si>
    <t>interest payments + lease payments</t>
  </si>
  <si>
    <t xml:space="preserve">6. Financial leverage = </t>
  </si>
  <si>
    <t>Debt as a percentage of total equity</t>
  </si>
  <si>
    <t>Debt as a percentage of total capital</t>
  </si>
  <si>
    <t>Debt as a percentage of total assets</t>
  </si>
  <si>
    <t>The ability to cover interest expenses</t>
  </si>
  <si>
    <t>The ability to cover interest and lease expenses</t>
  </si>
  <si>
    <t>An indicator of a company's debt financing usage</t>
  </si>
  <si>
    <t>Lease Payments</t>
  </si>
  <si>
    <t>Profitability Ratios</t>
  </si>
  <si>
    <t xml:space="preserve">1. Gross profit margin = </t>
  </si>
  <si>
    <t>gross profit</t>
  </si>
  <si>
    <t>2. Operating profit margin =</t>
  </si>
  <si>
    <t>operating income (EBIT)</t>
  </si>
  <si>
    <t>3. Pretax margin =</t>
  </si>
  <si>
    <t>EBT</t>
  </si>
  <si>
    <t>4. Net profit margin =</t>
  </si>
  <si>
    <t>net income</t>
  </si>
  <si>
    <t>5. Return on assets (ROA) =</t>
  </si>
  <si>
    <t>6. Operating return on assets (ROA) =</t>
  </si>
  <si>
    <t>operating profit (EBIT)</t>
  </si>
  <si>
    <t>7. Return on total capital =</t>
  </si>
  <si>
    <t>average total capital</t>
  </si>
  <si>
    <t>average equity</t>
  </si>
  <si>
    <t>Gross profitability as a percentage of total revenue</t>
  </si>
  <si>
    <t>Operating profitability (before interest and tax) as a percentage of total revenue</t>
  </si>
  <si>
    <t>Operating profitability (before tax) as a percentage of total revenue</t>
  </si>
  <si>
    <t>Net profitability as a percentage of total revenue</t>
  </si>
  <si>
    <t>Net profitability (excluding interest and taxes) as a percentage of total invested funds</t>
  </si>
  <si>
    <t>Net profitability (including interest and taxes) as a percentage of total invested funds</t>
  </si>
  <si>
    <t>Operating profitability as a percentage of total capital</t>
  </si>
  <si>
    <t>Net profitability as a percentage of total equity</t>
  </si>
  <si>
    <t>Valuation Ratios</t>
  </si>
  <si>
    <t>Net Income - preferred dividends</t>
  </si>
  <si>
    <t>Outstanding number of common shares</t>
  </si>
  <si>
    <t>Share price</t>
  </si>
  <si>
    <t xml:space="preserve">3. P/E ratio (company wide) = </t>
  </si>
  <si>
    <t>Market capitalization</t>
  </si>
  <si>
    <t>Net income</t>
  </si>
  <si>
    <t xml:space="preserve">5. Retention rate (RR) = </t>
  </si>
  <si>
    <t>Net income - dividends declared</t>
  </si>
  <si>
    <t xml:space="preserve">Net income  </t>
  </si>
  <si>
    <t xml:space="preserve">6. Dividend payout = </t>
  </si>
  <si>
    <t>Dividends declared</t>
  </si>
  <si>
    <t>Income earned per 1 common share outstanding</t>
  </si>
  <si>
    <t>The price that investors are willing to pay per $1 of earnings</t>
  </si>
  <si>
    <t>Total price that investors are willing to pay for a company's Net income</t>
  </si>
  <si>
    <t>The "portion" of Net income that is reinvested in the company</t>
  </si>
  <si>
    <t>The "portion" of Net income that is distributed as dividends</t>
  </si>
  <si>
    <t>Equity growth rate</t>
  </si>
  <si>
    <t>Total Common Share Dividends</t>
  </si>
  <si>
    <t>Total Preffered Share Dividends</t>
  </si>
  <si>
    <t>Weighted average number of:</t>
  </si>
  <si>
    <t>Ordinary shares – basic/diluted Shares</t>
  </si>
  <si>
    <t>Preferred shares – basic/diluted Shares</t>
  </si>
  <si>
    <t>Earnings attributable to noncontrolling interests</t>
  </si>
  <si>
    <t>Earnings attributable to Volkswagen AG hybrid capital investors</t>
  </si>
  <si>
    <t>Earnings attributable to Volkswagen AG shareholders</t>
  </si>
  <si>
    <t>of which basic/diluted earnings attributable to ordinary shares</t>
  </si>
  <si>
    <t>of which basic/diluted earnings attributable to preferred shares</t>
  </si>
  <si>
    <t xml:space="preserve">2. Common Price earnings (P/E) ratio = </t>
  </si>
  <si>
    <t>Common Share Closing Price</t>
  </si>
  <si>
    <t>Preferred Share Closing Price</t>
  </si>
  <si>
    <t xml:space="preserve">1. Earnings per common share (EPCS) = </t>
  </si>
  <si>
    <t>Income earned per 1 Preferred share outstanding</t>
  </si>
  <si>
    <t>Earnings per share (EPCS)</t>
  </si>
  <si>
    <t xml:space="preserve">1. Earnings per Preffered share (EPPS) = </t>
  </si>
  <si>
    <t>8. Return on equity (RoE)=</t>
  </si>
  <si>
    <r>
      <rPr>
        <b/>
        <sz val="9"/>
        <color theme="1"/>
        <rFont val="Arial"/>
        <family val="2"/>
      </rPr>
      <t>7. Sustainable growth rate (g) =</t>
    </r>
    <r>
      <rPr>
        <sz val="9"/>
        <color theme="1"/>
        <rFont val="Arial"/>
        <family val="2"/>
      </rPr>
      <t xml:space="preserve"> RR x ROE</t>
    </r>
  </si>
  <si>
    <t>Net Income - Common Share dividends</t>
  </si>
  <si>
    <t>Earnings per share (EPPS)</t>
  </si>
  <si>
    <t xml:space="preserve">2. Preffered Price earnings (P/E) ratio = </t>
  </si>
  <si>
    <t>Market Capitalization</t>
  </si>
  <si>
    <t xml:space="preserve">4. Common Share Dividend yield = </t>
  </si>
  <si>
    <t>Common share price</t>
  </si>
  <si>
    <t>Dividend declared (per Common share)</t>
  </si>
  <si>
    <t>Dividend per Common Share</t>
  </si>
  <si>
    <t>Dividend per Preffered Share</t>
  </si>
  <si>
    <t>The "portion "of a Common share price that is distributed as dividends</t>
  </si>
  <si>
    <t xml:space="preserve">4. Preffered Share Dividend yield = </t>
  </si>
  <si>
    <t>Dividend declared (per Preffered share)</t>
  </si>
  <si>
    <t>Preffered share price</t>
  </si>
  <si>
    <t>The "portion "of a Preffered share price that is distributed as dividends</t>
  </si>
  <si>
    <t>Total Dividends</t>
  </si>
  <si>
    <t>Dupont Analysis</t>
  </si>
  <si>
    <t>2-Way DuPont Analysis</t>
  </si>
  <si>
    <t>RoE</t>
  </si>
  <si>
    <t>net profit margin</t>
  </si>
  <si>
    <t>x</t>
  </si>
  <si>
    <t>equity turnover</t>
  </si>
  <si>
    <t>3-Way DuPont Analysis</t>
  </si>
  <si>
    <t>asset turnover</t>
  </si>
  <si>
    <t>financial leverage ratio</t>
  </si>
  <si>
    <t>5-Way DuPont Analysis</t>
  </si>
  <si>
    <t>tax burden</t>
  </si>
  <si>
    <t>interest burden</t>
  </si>
  <si>
    <t>operating profit margin</t>
  </si>
  <si>
    <t>EBIT</t>
  </si>
  <si>
    <t>Altman's Credit Score</t>
  </si>
  <si>
    <t>Formula</t>
  </si>
  <si>
    <t>Weight</t>
  </si>
  <si>
    <t>Result</t>
  </si>
  <si>
    <t>Category</t>
  </si>
  <si>
    <t xml:space="preserve">1.2 × (Current assets – Current liabilities)/Total assets + </t>
  </si>
  <si>
    <t>Liquidity</t>
  </si>
  <si>
    <t xml:space="preserve">1.4 × (Retained earnings/Total assets) + </t>
  </si>
  <si>
    <t>Solvency</t>
  </si>
  <si>
    <t xml:space="preserve">3.3 × (EBIT/Total assets) + </t>
  </si>
  <si>
    <t>Profitability</t>
  </si>
  <si>
    <t>Activity</t>
  </si>
  <si>
    <t>Valuation</t>
  </si>
  <si>
    <t>Total Z-score</t>
  </si>
  <si>
    <t>Year 2025</t>
  </si>
  <si>
    <t>Year 2024</t>
  </si>
  <si>
    <t>Year 2023</t>
  </si>
  <si>
    <t xml:space="preserve">0.6 × (Market value of stock/Book value of liabilities) </t>
  </si>
  <si>
    <t xml:space="preserve">1.0 × (Sales/Total assets) + </t>
  </si>
  <si>
    <t>Segment Reporting</t>
  </si>
  <si>
    <t>Revenue</t>
  </si>
  <si>
    <t>Gross profit</t>
  </si>
  <si>
    <t>Gross profit margin</t>
  </si>
  <si>
    <t>Total</t>
  </si>
  <si>
    <t>Operating Profit Margin</t>
  </si>
  <si>
    <t>Passenger Cars and Light Commercial Vehicles</t>
  </si>
  <si>
    <t>Commercial Vehicles</t>
  </si>
  <si>
    <t>Financial Services</t>
  </si>
  <si>
    <t>Other Operating Companies</t>
  </si>
  <si>
    <t>Reconciliation</t>
  </si>
  <si>
    <t>Region Sales Revenue In € Millions</t>
  </si>
  <si>
    <t>Germany</t>
  </si>
  <si>
    <t>Europe/Other Markets</t>
  </si>
  <si>
    <t>North America</t>
  </si>
  <si>
    <t>South America</t>
  </si>
  <si>
    <t>Asia-Pacific</t>
  </si>
  <si>
    <t>Hedge Sales Revenue</t>
  </si>
  <si>
    <t>Common Size P&amp;L</t>
  </si>
  <si>
    <t>KPI:</t>
  </si>
  <si>
    <t>Gross Profit Margin</t>
  </si>
  <si>
    <t>Net Profit Margin</t>
  </si>
  <si>
    <t xml:space="preserve"> Common Size Balance Sheet</t>
  </si>
  <si>
    <t>Index</t>
  </si>
  <si>
    <t>Volkswagen Statements</t>
  </si>
  <si>
    <t>Common Size Balance Sheet</t>
  </si>
  <si>
    <t>Statement Of Changes In Equity</t>
  </si>
  <si>
    <t>Financial Ratios</t>
  </si>
  <si>
    <t>Analysis</t>
  </si>
  <si>
    <t>-----------&gt;</t>
  </si>
  <si>
    <t>Click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</si>
</sst>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sz val="7"/>
      <color rgb="FF000000"/>
      <name val="Helvetica"/>
      <family val="2"/>
    </font>
    <font>
      <sz val="10"/>
      <color rgb="FF021D26"/>
      <name val="Helvetica"/>
      <family val="2"/>
    </font>
    <font>
      <b/>
      <sz val="9"/>
      <color theme="0"/>
      <name val="Arial"/>
      <family val="2"/>
    </font>
    <font>
      <b/>
      <sz val="9"/>
      <color rgb="FF0070C0"/>
      <name val="Arial"/>
      <family val="2"/>
    </font>
    <font>
      <sz val="9"/>
      <color rgb="FF00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2060"/>
      <name val="Arial"/>
      <family val="2"/>
    </font>
    <font>
      <sz val="9"/>
      <color rgb="FFFF0000"/>
      <name val="Arial"/>
      <family val="2"/>
    </font>
    <font>
      <sz val="9"/>
      <color rgb="FF002060"/>
      <name val="Arial"/>
      <family val="2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b/>
      <i/>
      <sz val="9"/>
      <color theme="0"/>
      <name val="Arial"/>
      <family val="2"/>
    </font>
    <font>
      <i/>
      <sz val="9"/>
      <color theme="1"/>
      <name val="Arial"/>
      <family val="2"/>
    </font>
    <font>
      <b/>
      <sz val="12"/>
      <color theme="0"/>
      <name val="Arial"/>
      <family val="2"/>
    </font>
    <font>
      <u/>
      <sz val="12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rgb="FFFFFFFF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theme="1"/>
      </top>
      <bottom/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37" fontId="5" fillId="2" borderId="0" applyNumberFormat="0" applyAlignment="0"/>
    <xf numFmtId="0" fontId="3" fillId="2" borderId="1"/>
    <xf numFmtId="37" fontId="4" fillId="2" borderId="3" applyAlignment="0"/>
    <xf numFmtId="0" fontId="6" fillId="3" borderId="0" applyNumberFormat="0"/>
    <xf numFmtId="37" fontId="4" fillId="2" borderId="4"/>
    <xf numFmtId="43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256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2" fontId="2" fillId="2" borderId="0" xfId="0" applyNumberFormat="1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5" fillId="2" borderId="0" xfId="0" applyFont="1" applyFill="1"/>
    <xf numFmtId="37" fontId="4" fillId="2" borderId="3" xfId="4"/>
    <xf numFmtId="37" fontId="4" fillId="2" borderId="3" xfId="4" applyAlignment="1">
      <alignment horizontal="right"/>
    </xf>
    <xf numFmtId="0" fontId="3" fillId="2" borderId="1" xfId="3"/>
    <xf numFmtId="0" fontId="3" fillId="2" borderId="1" xfId="3" applyAlignment="1">
      <alignment horizontal="center" wrapText="1"/>
    </xf>
    <xf numFmtId="37" fontId="2" fillId="2" borderId="0" xfId="0" applyNumberFormat="1" applyFont="1" applyFill="1"/>
    <xf numFmtId="37" fontId="5" fillId="2" borderId="0" xfId="2" applyNumberFormat="1" applyAlignment="1">
      <alignment horizontal="right"/>
    </xf>
    <xf numFmtId="0" fontId="8" fillId="0" borderId="0" xfId="0" applyFont="1"/>
    <xf numFmtId="0" fontId="5" fillId="2" borderId="0" xfId="2" applyNumberFormat="1"/>
    <xf numFmtId="0" fontId="6" fillId="3" borderId="0" xfId="2" applyNumberFormat="1" applyFont="1" applyFill="1"/>
    <xf numFmtId="0" fontId="6" fillId="3" borderId="0" xfId="5"/>
    <xf numFmtId="37" fontId="4" fillId="2" borderId="4" xfId="6"/>
    <xf numFmtId="3" fontId="5" fillId="2" borderId="0" xfId="2" applyNumberFormat="1" applyAlignment="1">
      <alignment horizontal="right"/>
    </xf>
    <xf numFmtId="0" fontId="5" fillId="2" borderId="0" xfId="2" applyNumberFormat="1" applyAlignment="1">
      <alignment horizontal="right"/>
    </xf>
    <xf numFmtId="0" fontId="2" fillId="2" borderId="0" xfId="0" applyFont="1" applyFill="1" applyAlignment="1">
      <alignment horizontal="right"/>
    </xf>
    <xf numFmtId="37" fontId="4" fillId="2" borderId="4" xfId="6" applyAlignment="1">
      <alignment horizontal="right"/>
    </xf>
    <xf numFmtId="0" fontId="5" fillId="2" borderId="0" xfId="0" applyFont="1" applyFill="1" applyAlignment="1">
      <alignment horizontal="right"/>
    </xf>
    <xf numFmtId="37" fontId="5" fillId="2" borderId="0" xfId="0" applyNumberFormat="1" applyFont="1" applyFill="1"/>
    <xf numFmtId="3" fontId="2" fillId="2" borderId="0" xfId="0" applyNumberFormat="1" applyFont="1" applyFill="1"/>
    <xf numFmtId="37" fontId="5" fillId="2" borderId="0" xfId="0" applyNumberFormat="1" applyFont="1" applyFill="1" applyAlignment="1">
      <alignment horizontal="right"/>
    </xf>
    <xf numFmtId="9" fontId="4" fillId="2" borderId="4" xfId="1" applyFont="1" applyFill="1" applyBorder="1"/>
    <xf numFmtId="0" fontId="3" fillId="2" borderId="1" xfId="3" applyAlignment="1">
      <alignment horizontal="center"/>
    </xf>
    <xf numFmtId="9" fontId="5" fillId="2" borderId="0" xfId="1" applyFont="1" applyFill="1"/>
    <xf numFmtId="9" fontId="4" fillId="2" borderId="3" xfId="1" applyFont="1" applyFill="1" applyBorder="1"/>
    <xf numFmtId="37" fontId="4" fillId="2" borderId="0" xfId="6" applyBorder="1" applyAlignment="1">
      <alignment horizontal="right"/>
    </xf>
    <xf numFmtId="0" fontId="9" fillId="3" borderId="0" xfId="0" applyFont="1" applyFill="1"/>
    <xf numFmtId="0" fontId="7" fillId="2" borderId="0" xfId="0" applyFont="1" applyFill="1"/>
    <xf numFmtId="0" fontId="10" fillId="2" borderId="1" xfId="3" applyFont="1"/>
    <xf numFmtId="0" fontId="11" fillId="2" borderId="0" xfId="0" applyFont="1" applyFill="1"/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 wrapText="1"/>
    </xf>
    <xf numFmtId="37" fontId="6" fillId="3" borderId="0" xfId="5" applyNumberFormat="1"/>
    <xf numFmtId="37" fontId="5" fillId="2" borderId="0" xfId="0" applyNumberFormat="1" applyFont="1" applyFill="1" applyAlignment="1">
      <alignment horizontal="center" vertical="center"/>
    </xf>
    <xf numFmtId="37" fontId="6" fillId="3" borderId="0" xfId="5" applyNumberFormat="1" applyAlignment="1">
      <alignment horizontal="right"/>
    </xf>
    <xf numFmtId="37" fontId="7" fillId="2" borderId="0" xfId="0" applyNumberFormat="1" applyFont="1" applyFill="1"/>
    <xf numFmtId="9" fontId="6" fillId="3" borderId="0" xfId="1" applyFont="1" applyFill="1"/>
    <xf numFmtId="9" fontId="5" fillId="2" borderId="0" xfId="1" applyFont="1" applyFill="1" applyAlignment="1">
      <alignment horizontal="center" vertical="center"/>
    </xf>
    <xf numFmtId="9" fontId="6" fillId="3" borderId="0" xfId="5" applyNumberFormat="1"/>
    <xf numFmtId="0" fontId="5" fillId="2" borderId="0" xfId="2" applyNumberFormat="1" applyAlignment="1">
      <alignment horizontal="center" vertical="center"/>
    </xf>
    <xf numFmtId="37" fontId="5" fillId="2" borderId="0" xfId="2" applyNumberFormat="1" applyAlignment="1">
      <alignment horizontal="center" vertical="center"/>
    </xf>
    <xf numFmtId="0" fontId="3" fillId="2" borderId="1" xfId="3" applyAlignment="1">
      <alignment wrapText="1"/>
    </xf>
    <xf numFmtId="37" fontId="5" fillId="2" borderId="0" xfId="0" applyNumberFormat="1" applyFont="1" applyFill="1" applyAlignment="1">
      <alignment horizontal="right" wrapText="1"/>
    </xf>
    <xf numFmtId="37" fontId="11" fillId="2" borderId="0" xfId="0" applyNumberFormat="1" applyFont="1" applyFill="1" applyAlignment="1">
      <alignment horizontal="right"/>
    </xf>
    <xf numFmtId="37" fontId="4" fillId="2" borderId="4" xfId="6" applyAlignment="1">
      <alignment horizontal="left"/>
    </xf>
    <xf numFmtId="0" fontId="12" fillId="2" borderId="0" xfId="0" applyFont="1" applyFill="1"/>
    <xf numFmtId="0" fontId="13" fillId="2" borderId="0" xfId="0" applyFont="1" applyFill="1"/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/>
    </xf>
    <xf numFmtId="41" fontId="5" fillId="2" borderId="0" xfId="0" applyNumberFormat="1" applyFont="1" applyFill="1"/>
    <xf numFmtId="0" fontId="5" fillId="2" borderId="6" xfId="0" applyFont="1" applyFill="1" applyBorder="1" applyAlignment="1">
      <alignment horizontal="center"/>
    </xf>
    <xf numFmtId="41" fontId="5" fillId="2" borderId="5" xfId="0" applyNumberFormat="1" applyFont="1" applyFill="1" applyBorder="1"/>
    <xf numFmtId="43" fontId="13" fillId="2" borderId="11" xfId="0" applyNumberFormat="1" applyFont="1" applyFill="1" applyBorder="1"/>
    <xf numFmtId="0" fontId="5" fillId="2" borderId="1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/>
    </xf>
    <xf numFmtId="41" fontId="5" fillId="2" borderId="13" xfId="0" applyNumberFormat="1" applyFont="1" applyFill="1" applyBorder="1"/>
    <xf numFmtId="0" fontId="5" fillId="2" borderId="15" xfId="0" applyFont="1" applyFill="1" applyBorder="1" applyAlignment="1">
      <alignment horizontal="center" vertical="center"/>
    </xf>
    <xf numFmtId="0" fontId="5" fillId="2" borderId="14" xfId="0" applyFont="1" applyFill="1" applyBorder="1"/>
    <xf numFmtId="0" fontId="5" fillId="2" borderId="16" xfId="0" applyFont="1" applyFill="1" applyBorder="1" applyAlignment="1">
      <alignment horizontal="center" vertical="center" wrapText="1"/>
    </xf>
    <xf numFmtId="41" fontId="5" fillId="2" borderId="5" xfId="0" applyNumberFormat="1" applyFont="1" applyFill="1" applyBorder="1" applyAlignment="1">
      <alignment horizontal="center"/>
    </xf>
    <xf numFmtId="43" fontId="5" fillId="2" borderId="13" xfId="0" applyNumberFormat="1" applyFont="1" applyFill="1" applyBorder="1" applyAlignment="1">
      <alignment horizontal="center"/>
    </xf>
    <xf numFmtId="43" fontId="5" fillId="2" borderId="11" xfId="0" applyNumberFormat="1" applyFont="1" applyFill="1" applyBorder="1"/>
    <xf numFmtId="43" fontId="5" fillId="2" borderId="13" xfId="0" applyNumberFormat="1" applyFont="1" applyFill="1" applyBorder="1"/>
    <xf numFmtId="0" fontId="5" fillId="2" borderId="12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center" wrapText="1"/>
    </xf>
    <xf numFmtId="0" fontId="13" fillId="2" borderId="0" xfId="0" applyFont="1" applyFill="1" applyAlignment="1">
      <alignment horizontal="center" vertical="center"/>
    </xf>
    <xf numFmtId="0" fontId="13" fillId="2" borderId="9" xfId="0" applyFont="1" applyFill="1" applyBorder="1" applyAlignment="1">
      <alignment horizontal="center"/>
    </xf>
    <xf numFmtId="0" fontId="5" fillId="2" borderId="11" xfId="0" applyFont="1" applyFill="1" applyBorder="1"/>
    <xf numFmtId="43" fontId="5" fillId="2" borderId="9" xfId="0" applyNumberFormat="1" applyFont="1" applyFill="1" applyBorder="1"/>
    <xf numFmtId="0" fontId="5" fillId="2" borderId="10" xfId="0" applyFont="1" applyFill="1" applyBorder="1" applyAlignment="1">
      <alignment horizontal="center"/>
    </xf>
    <xf numFmtId="0" fontId="5" fillId="2" borderId="17" xfId="0" applyFont="1" applyFill="1" applyBorder="1"/>
    <xf numFmtId="0" fontId="5" fillId="2" borderId="18" xfId="0" applyFont="1" applyFill="1" applyBorder="1"/>
    <xf numFmtId="0" fontId="5" fillId="2" borderId="17" xfId="0" applyFont="1" applyFill="1" applyBorder="1" applyAlignment="1">
      <alignment horizontal="center"/>
    </xf>
    <xf numFmtId="43" fontId="5" fillId="2" borderId="17" xfId="0" applyNumberFormat="1" applyFont="1" applyFill="1" applyBorder="1"/>
    <xf numFmtId="0" fontId="5" fillId="2" borderId="13" xfId="0" applyFont="1" applyFill="1" applyBorder="1"/>
    <xf numFmtId="0" fontId="5" fillId="2" borderId="15" xfId="0" applyFont="1" applyFill="1" applyBorder="1" applyAlignment="1">
      <alignment horizontal="center"/>
    </xf>
    <xf numFmtId="0" fontId="5" fillId="2" borderId="5" xfId="0" applyFont="1" applyFill="1" applyBorder="1"/>
    <xf numFmtId="0" fontId="5" fillId="2" borderId="7" xfId="0" applyFont="1" applyFill="1" applyBorder="1"/>
    <xf numFmtId="0" fontId="5" fillId="2" borderId="6" xfId="0" applyFont="1" applyFill="1" applyBorder="1"/>
    <xf numFmtId="37" fontId="5" fillId="2" borderId="13" xfId="0" applyNumberFormat="1" applyFont="1" applyFill="1" applyBorder="1"/>
    <xf numFmtId="0" fontId="5" fillId="2" borderId="1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10" fontId="5" fillId="2" borderId="0" xfId="1" applyNumberFormat="1" applyFont="1" applyFill="1" applyAlignment="1">
      <alignment horizontal="right"/>
    </xf>
    <xf numFmtId="10" fontId="4" fillId="2" borderId="4" xfId="1" applyNumberFormat="1" applyFont="1" applyFill="1" applyBorder="1"/>
    <xf numFmtId="10" fontId="4" fillId="2" borderId="2" xfId="1" applyNumberFormat="1" applyFont="1" applyFill="1" applyBorder="1" applyAlignment="1">
      <alignment horizontal="right"/>
    </xf>
    <xf numFmtId="10" fontId="4" fillId="2" borderId="3" xfId="1" applyNumberFormat="1" applyFont="1" applyFill="1" applyBorder="1" applyAlignment="1">
      <alignment horizontal="right"/>
    </xf>
    <xf numFmtId="41" fontId="5" fillId="2" borderId="13" xfId="0" applyNumberFormat="1" applyFont="1" applyFill="1" applyBorder="1" applyAlignment="1">
      <alignment horizontal="center"/>
    </xf>
    <xf numFmtId="0" fontId="5" fillId="2" borderId="8" xfId="0" applyFont="1" applyFill="1" applyBorder="1"/>
    <xf numFmtId="9" fontId="5" fillId="2" borderId="11" xfId="1" applyFont="1" applyFill="1" applyBorder="1"/>
    <xf numFmtId="9" fontId="5" fillId="2" borderId="14" xfId="1" applyFont="1" applyFill="1" applyBorder="1"/>
    <xf numFmtId="43" fontId="5" fillId="2" borderId="11" xfId="7" applyFont="1" applyFill="1" applyBorder="1"/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0" fontId="5" fillId="2" borderId="11" xfId="0" applyNumberFormat="1" applyFont="1" applyFill="1" applyBorder="1"/>
    <xf numFmtId="0" fontId="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43" fontId="5" fillId="2" borderId="5" xfId="7" applyFont="1" applyFill="1" applyBorder="1" applyAlignment="1">
      <alignment horizontal="center"/>
    </xf>
    <xf numFmtId="43" fontId="5" fillId="2" borderId="13" xfId="7" applyFont="1" applyFill="1" applyBorder="1" applyAlignment="1">
      <alignment horizontal="center"/>
    </xf>
    <xf numFmtId="164" fontId="5" fillId="2" borderId="5" xfId="7" applyNumberFormat="1" applyFont="1" applyFill="1" applyBorder="1" applyAlignment="1">
      <alignment horizontal="center"/>
    </xf>
    <xf numFmtId="9" fontId="5" fillId="2" borderId="6" xfId="1" applyFont="1" applyFill="1" applyBorder="1"/>
    <xf numFmtId="0" fontId="5" fillId="2" borderId="5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37" fontId="13" fillId="2" borderId="0" xfId="0" applyNumberFormat="1" applyFont="1" applyFill="1" applyAlignment="1">
      <alignment horizontal="right"/>
    </xf>
    <xf numFmtId="37" fontId="5" fillId="2" borderId="0" xfId="2"/>
    <xf numFmtId="37" fontId="13" fillId="2" borderId="0" xfId="0" applyNumberFormat="1" applyFont="1" applyFill="1"/>
    <xf numFmtId="0" fontId="18" fillId="2" borderId="0" xfId="0" applyFont="1" applyFill="1"/>
    <xf numFmtId="2" fontId="13" fillId="2" borderId="0" xfId="0" applyNumberFormat="1" applyFont="1" applyFill="1"/>
    <xf numFmtId="43" fontId="5" fillId="2" borderId="0" xfId="7" applyFont="1" applyFill="1" applyBorder="1" applyAlignment="1">
      <alignment horizontal="center"/>
    </xf>
    <xf numFmtId="9" fontId="5" fillId="2" borderId="5" xfId="0" applyNumberFormat="1" applyFont="1" applyFill="1" applyBorder="1"/>
    <xf numFmtId="0" fontId="14" fillId="2" borderId="5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14" fillId="2" borderId="0" xfId="0" applyFont="1" applyFill="1" applyAlignment="1">
      <alignment horizontal="right"/>
    </xf>
    <xf numFmtId="10" fontId="13" fillId="2" borderId="9" xfId="1" applyNumberFormat="1" applyFont="1" applyFill="1" applyBorder="1" applyAlignment="1">
      <alignment horizontal="center"/>
    </xf>
    <xf numFmtId="0" fontId="5" fillId="2" borderId="10" xfId="0" applyFont="1" applyFill="1" applyBorder="1"/>
    <xf numFmtId="10" fontId="5" fillId="2" borderId="10" xfId="0" applyNumberFormat="1" applyFont="1" applyFill="1" applyBorder="1" applyAlignment="1">
      <alignment horizontal="center"/>
    </xf>
    <xf numFmtId="43" fontId="5" fillId="2" borderId="11" xfId="0" applyNumberFormat="1" applyFont="1" applyFill="1" applyBorder="1" applyAlignment="1">
      <alignment horizontal="center"/>
    </xf>
    <xf numFmtId="10" fontId="13" fillId="2" borderId="13" xfId="0" applyNumberFormat="1" applyFont="1" applyFill="1" applyBorder="1" applyAlignment="1">
      <alignment horizontal="center"/>
    </xf>
    <xf numFmtId="0" fontId="5" fillId="2" borderId="15" xfId="0" applyFont="1" applyFill="1" applyBorder="1"/>
    <xf numFmtId="10" fontId="5" fillId="2" borderId="15" xfId="0" applyNumberFormat="1" applyFont="1" applyFill="1" applyBorder="1" applyAlignment="1">
      <alignment horizontal="center"/>
    </xf>
    <xf numFmtId="43" fontId="5" fillId="2" borderId="14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43" fontId="5" fillId="2" borderId="10" xfId="0" applyNumberFormat="1" applyFont="1" applyFill="1" applyBorder="1" applyAlignment="1">
      <alignment horizontal="center"/>
    </xf>
    <xf numFmtId="9" fontId="5" fillId="2" borderId="0" xfId="0" applyNumberFormat="1" applyFont="1" applyFill="1"/>
    <xf numFmtId="43" fontId="5" fillId="2" borderId="15" xfId="0" applyNumberFormat="1" applyFont="1" applyFill="1" applyBorder="1" applyAlignment="1">
      <alignment horizontal="center"/>
    </xf>
    <xf numFmtId="0" fontId="14" fillId="2" borderId="0" xfId="0" applyFont="1" applyFill="1"/>
    <xf numFmtId="9" fontId="5" fillId="2" borderId="10" xfId="1" applyFont="1" applyFill="1" applyBorder="1" applyAlignment="1">
      <alignment horizontal="center"/>
    </xf>
    <xf numFmtId="10" fontId="13" fillId="2" borderId="13" xfId="1" applyNumberFormat="1" applyFont="1" applyFill="1" applyBorder="1" applyAlignment="1">
      <alignment horizontal="center"/>
    </xf>
    <xf numFmtId="9" fontId="5" fillId="2" borderId="15" xfId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43" fontId="5" fillId="2" borderId="0" xfId="0" applyNumberFormat="1" applyFont="1" applyFill="1" applyAlignment="1">
      <alignment horizontal="center"/>
    </xf>
    <xf numFmtId="10" fontId="13" fillId="2" borderId="17" xfId="0" applyNumberFormat="1" applyFont="1" applyFill="1" applyBorder="1" applyAlignment="1">
      <alignment horizontal="center"/>
    </xf>
    <xf numFmtId="43" fontId="5" fillId="2" borderId="18" xfId="0" applyNumberFormat="1" applyFont="1" applyFill="1" applyBorder="1" applyAlignment="1">
      <alignment horizontal="center"/>
    </xf>
    <xf numFmtId="9" fontId="5" fillId="2" borderId="0" xfId="1" applyFont="1" applyFill="1" applyBorder="1" applyAlignment="1">
      <alignment horizontal="center"/>
    </xf>
    <xf numFmtId="10" fontId="13" fillId="2" borderId="17" xfId="1" applyNumberFormat="1" applyFont="1" applyFill="1" applyBorder="1" applyAlignment="1">
      <alignment horizontal="center"/>
    </xf>
    <xf numFmtId="0" fontId="9" fillId="4" borderId="0" xfId="0" applyFont="1" applyFill="1"/>
    <xf numFmtId="0" fontId="5" fillId="2" borderId="20" xfId="0" applyFont="1" applyFill="1" applyBorder="1"/>
    <xf numFmtId="0" fontId="5" fillId="2" borderId="22" xfId="0" applyFont="1" applyFill="1" applyBorder="1"/>
    <xf numFmtId="43" fontId="5" fillId="2" borderId="20" xfId="7" applyFont="1" applyFill="1" applyBorder="1"/>
    <xf numFmtId="43" fontId="5" fillId="2" borderId="21" xfId="7" applyFont="1" applyFill="1" applyBorder="1"/>
    <xf numFmtId="0" fontId="20" fillId="2" borderId="21" xfId="0" applyFont="1" applyFill="1" applyBorder="1"/>
    <xf numFmtId="0" fontId="5" fillId="2" borderId="23" xfId="0" applyFont="1" applyFill="1" applyBorder="1" applyAlignment="1">
      <alignment vertical="center"/>
    </xf>
    <xf numFmtId="0" fontId="5" fillId="2" borderId="24" xfId="0" applyFont="1" applyFill="1" applyBorder="1"/>
    <xf numFmtId="43" fontId="5" fillId="2" borderId="23" xfId="7" applyFont="1" applyFill="1" applyBorder="1"/>
    <xf numFmtId="43" fontId="5" fillId="2" borderId="25" xfId="7" applyFont="1" applyFill="1" applyBorder="1"/>
    <xf numFmtId="0" fontId="20" fillId="2" borderId="25" xfId="0" applyFont="1" applyFill="1" applyBorder="1"/>
    <xf numFmtId="166" fontId="5" fillId="2" borderId="24" xfId="0" applyNumberFormat="1" applyFont="1" applyFill="1" applyBorder="1"/>
    <xf numFmtId="0" fontId="5" fillId="2" borderId="26" xfId="0" applyFont="1" applyFill="1" applyBorder="1" applyAlignment="1">
      <alignment vertical="center"/>
    </xf>
    <xf numFmtId="0" fontId="5" fillId="2" borderId="27" xfId="0" applyFont="1" applyFill="1" applyBorder="1"/>
    <xf numFmtId="43" fontId="5" fillId="2" borderId="26" xfId="7" applyFont="1" applyFill="1" applyBorder="1"/>
    <xf numFmtId="43" fontId="5" fillId="2" borderId="28" xfId="7" applyFont="1" applyFill="1" applyBorder="1"/>
    <xf numFmtId="0" fontId="20" fillId="2" borderId="28" xfId="0" applyFont="1" applyFill="1" applyBorder="1"/>
    <xf numFmtId="0" fontId="13" fillId="2" borderId="26" xfId="0" applyFont="1" applyFill="1" applyBorder="1" applyAlignment="1">
      <alignment vertical="center"/>
    </xf>
    <xf numFmtId="0" fontId="5" fillId="2" borderId="29" xfId="0" applyFont="1" applyFill="1" applyBorder="1"/>
    <xf numFmtId="165" fontId="5" fillId="2" borderId="26" xfId="7" applyNumberFormat="1" applyFont="1" applyFill="1" applyBorder="1"/>
    <xf numFmtId="43" fontId="13" fillId="2" borderId="28" xfId="0" applyNumberFormat="1" applyFont="1" applyFill="1" applyBorder="1"/>
    <xf numFmtId="43" fontId="13" fillId="2" borderId="26" xfId="0" applyNumberFormat="1" applyFont="1" applyFill="1" applyBorder="1"/>
    <xf numFmtId="0" fontId="9" fillId="5" borderId="20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19" fillId="5" borderId="21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2" fontId="5" fillId="2" borderId="21" xfId="7" applyNumberFormat="1" applyFont="1" applyFill="1" applyBorder="1"/>
    <xf numFmtId="2" fontId="5" fillId="2" borderId="25" xfId="7" applyNumberFormat="1" applyFont="1" applyFill="1" applyBorder="1"/>
    <xf numFmtId="2" fontId="5" fillId="2" borderId="28" xfId="7" applyNumberFormat="1" applyFont="1" applyFill="1" applyBorder="1"/>
    <xf numFmtId="164" fontId="5" fillId="2" borderId="17" xfId="7" applyNumberFormat="1" applyFont="1" applyFill="1" applyBorder="1"/>
    <xf numFmtId="164" fontId="5" fillId="2" borderId="0" xfId="7" applyNumberFormat="1" applyFont="1" applyFill="1" applyBorder="1"/>
    <xf numFmtId="9" fontId="5" fillId="2" borderId="0" xfId="1" applyFont="1" applyFill="1" applyBorder="1"/>
    <xf numFmtId="9" fontId="5" fillId="2" borderId="18" xfId="1" applyFont="1" applyFill="1" applyBorder="1"/>
    <xf numFmtId="164" fontId="13" fillId="2" borderId="5" xfId="7" applyNumberFormat="1" applyFont="1" applyFill="1" applyBorder="1"/>
    <xf numFmtId="164" fontId="13" fillId="2" borderId="7" xfId="7" applyNumberFormat="1" applyFont="1" applyFill="1" applyBorder="1"/>
    <xf numFmtId="0" fontId="13" fillId="2" borderId="8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/>
    <xf numFmtId="0" fontId="17" fillId="3" borderId="12" xfId="0" applyFont="1" applyFill="1" applyBorder="1" applyAlignment="1">
      <alignment horizontal="center" wrapText="1"/>
    </xf>
    <xf numFmtId="0" fontId="17" fillId="3" borderId="19" xfId="0" applyFont="1" applyFill="1" applyBorder="1" applyAlignment="1">
      <alignment horizontal="center"/>
    </xf>
    <xf numFmtId="0" fontId="17" fillId="3" borderId="16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9" fontId="13" fillId="2" borderId="7" xfId="1" applyFont="1" applyFill="1" applyBorder="1"/>
    <xf numFmtId="9" fontId="13" fillId="2" borderId="6" xfId="1" applyFont="1" applyFill="1" applyBorder="1"/>
    <xf numFmtId="164" fontId="5" fillId="2" borderId="0" xfId="0" applyNumberFormat="1" applyFont="1" applyFill="1"/>
    <xf numFmtId="0" fontId="17" fillId="3" borderId="6" xfId="0" applyFont="1" applyFill="1" applyBorder="1" applyAlignment="1">
      <alignment horizontal="center"/>
    </xf>
    <xf numFmtId="37" fontId="5" fillId="2" borderId="9" xfId="0" applyNumberFormat="1" applyFont="1" applyFill="1" applyBorder="1" applyAlignment="1">
      <alignment horizontal="right"/>
    </xf>
    <xf numFmtId="37" fontId="5" fillId="2" borderId="10" xfId="0" applyNumberFormat="1" applyFont="1" applyFill="1" applyBorder="1" applyAlignment="1">
      <alignment horizontal="right"/>
    </xf>
    <xf numFmtId="37" fontId="5" fillId="2" borderId="11" xfId="0" applyNumberFormat="1" applyFont="1" applyFill="1" applyBorder="1" applyAlignment="1">
      <alignment horizontal="right"/>
    </xf>
    <xf numFmtId="37" fontId="5" fillId="2" borderId="17" xfId="0" applyNumberFormat="1" applyFont="1" applyFill="1" applyBorder="1" applyAlignment="1">
      <alignment horizontal="right"/>
    </xf>
    <xf numFmtId="37" fontId="5" fillId="2" borderId="18" xfId="0" applyNumberFormat="1" applyFont="1" applyFill="1" applyBorder="1" applyAlignment="1">
      <alignment horizontal="right"/>
    </xf>
    <xf numFmtId="37" fontId="5" fillId="2" borderId="13" xfId="0" applyNumberFormat="1" applyFont="1" applyFill="1" applyBorder="1" applyAlignment="1">
      <alignment horizontal="right"/>
    </xf>
    <xf numFmtId="37" fontId="5" fillId="2" borderId="15" xfId="0" applyNumberFormat="1" applyFont="1" applyFill="1" applyBorder="1" applyAlignment="1">
      <alignment horizontal="right"/>
    </xf>
    <xf numFmtId="37" fontId="5" fillId="2" borderId="14" xfId="0" applyNumberFormat="1" applyFont="1" applyFill="1" applyBorder="1" applyAlignment="1">
      <alignment horizontal="right"/>
    </xf>
    <xf numFmtId="37" fontId="13" fillId="2" borderId="5" xfId="0" applyNumberFormat="1" applyFont="1" applyFill="1" applyBorder="1" applyAlignment="1">
      <alignment horizontal="right"/>
    </xf>
    <xf numFmtId="37" fontId="13" fillId="2" borderId="7" xfId="0" applyNumberFormat="1" applyFont="1" applyFill="1" applyBorder="1" applyAlignment="1">
      <alignment horizontal="right"/>
    </xf>
    <xf numFmtId="37" fontId="13" fillId="2" borderId="6" xfId="0" applyNumberFormat="1" applyFont="1" applyFill="1" applyBorder="1" applyAlignment="1">
      <alignment horizontal="right"/>
    </xf>
    <xf numFmtId="0" fontId="5" fillId="2" borderId="1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4" fillId="2" borderId="20" xfId="7" applyNumberFormat="1" applyFont="1" applyFill="1" applyBorder="1" applyAlignment="1">
      <alignment horizontal="center"/>
    </xf>
    <xf numFmtId="0" fontId="14" fillId="2" borderId="21" xfId="7" applyNumberFormat="1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9" fontId="5" fillId="2" borderId="0" xfId="1" applyFont="1" applyFill="1" applyAlignment="1">
      <alignment horizontal="right"/>
    </xf>
    <xf numFmtId="10" fontId="5" fillId="2" borderId="0" xfId="1" applyNumberFormat="1" applyFont="1" applyFill="1"/>
    <xf numFmtId="10" fontId="4" fillId="2" borderId="3" xfId="1" applyNumberFormat="1" applyFont="1" applyFill="1" applyBorder="1"/>
    <xf numFmtId="9" fontId="4" fillId="2" borderId="2" xfId="1" applyFont="1" applyFill="1" applyBorder="1" applyAlignment="1">
      <alignment horizontal="right"/>
    </xf>
    <xf numFmtId="9" fontId="4" fillId="2" borderId="3" xfId="1" applyFont="1" applyFill="1" applyBorder="1" applyAlignment="1">
      <alignment horizontal="right"/>
    </xf>
    <xf numFmtId="0" fontId="13" fillId="6" borderId="0" xfId="0" applyFont="1" applyFill="1"/>
    <xf numFmtId="37" fontId="13" fillId="6" borderId="0" xfId="0" applyNumberFormat="1" applyFont="1" applyFill="1" applyAlignment="1">
      <alignment horizontal="right"/>
    </xf>
    <xf numFmtId="0" fontId="18" fillId="6" borderId="0" xfId="0" applyFont="1" applyFill="1"/>
    <xf numFmtId="10" fontId="13" fillId="6" borderId="0" xfId="0" applyNumberFormat="1" applyFont="1" applyFill="1"/>
    <xf numFmtId="10" fontId="0" fillId="6" borderId="0" xfId="0" applyNumberFormat="1" applyFill="1"/>
    <xf numFmtId="0" fontId="0" fillId="2" borderId="15" xfId="0" applyFill="1" applyBorder="1"/>
    <xf numFmtId="10" fontId="5" fillId="2" borderId="0" xfId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6" fillId="3" borderId="0" xfId="0" applyFont="1" applyFill="1"/>
    <xf numFmtId="0" fontId="21" fillId="3" borderId="0" xfId="0" applyFont="1" applyFill="1"/>
    <xf numFmtId="0" fontId="22" fillId="2" borderId="0" xfId="8" quotePrefix="1" applyFill="1"/>
    <xf numFmtId="0" fontId="5" fillId="2" borderId="0" xfId="0" quotePrefix="1" applyFont="1" applyFill="1"/>
  </cellXfs>
  <cellStyles count="9">
    <cellStyle name="Comma" xfId="7" builtinId="3"/>
    <cellStyle name="Final" xfId="4" xr:uid="{036B7EBA-DFE6-C74D-8862-E33EFC288C0E}"/>
    <cellStyle name="General" xfId="2" xr:uid="{8CC5C007-FE6E-8E45-9140-CB56F7FB3CBC}"/>
    <cellStyle name="Header Years" xfId="3" xr:uid="{79519A04-9043-D74F-B106-7B4B1121DEC4}"/>
    <cellStyle name="Hyperlink" xfId="8" builtinId="8"/>
    <cellStyle name="Normal" xfId="0" builtinId="0"/>
    <cellStyle name="Percent" xfId="1" builtinId="5"/>
    <cellStyle name="sub head" xfId="5" xr:uid="{99FC9419-6C08-9541-98B7-65CE57A4F4A9}"/>
    <cellStyle name="Subtotal" xfId="6" xr:uid="{6724A3BD-BAE7-DC45-BDC8-67892377B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5E96-2CE6-E44D-8DE4-B3C5EF94FECC}">
  <dimension ref="B1:E20"/>
  <sheetViews>
    <sheetView tabSelected="1" zoomScale="200" workbookViewId="0">
      <selection activeCell="E38" sqref="E38"/>
    </sheetView>
  </sheetViews>
  <sheetFormatPr baseColWidth="10" defaultRowHeight="12" x14ac:dyDescent="0.15"/>
  <cols>
    <col min="1" max="1" width="2.1640625" style="7" customWidth="1"/>
    <col min="2" max="2" width="10.83203125" style="7"/>
    <col min="3" max="3" width="24.5" style="7" bestFit="1" customWidth="1"/>
    <col min="4" max="4" width="7.5" style="7" bestFit="1" customWidth="1"/>
    <col min="5" max="16384" width="10.83203125" style="7"/>
  </cols>
  <sheetData>
    <row r="1" spans="2:5" ht="16" x14ac:dyDescent="0.2">
      <c r="B1" s="253" t="s">
        <v>368</v>
      </c>
    </row>
    <row r="4" spans="2:5" ht="16" x14ac:dyDescent="0.2">
      <c r="C4" s="253" t="s">
        <v>369</v>
      </c>
    </row>
    <row r="5" spans="2:5" ht="16" x14ac:dyDescent="0.2">
      <c r="C5" s="252" t="s">
        <v>0</v>
      </c>
      <c r="D5" s="255" t="s">
        <v>374</v>
      </c>
      <c r="E5" s="254" t="s">
        <v>375</v>
      </c>
    </row>
    <row r="6" spans="2:5" ht="16" x14ac:dyDescent="0.2">
      <c r="C6" s="252" t="s">
        <v>363</v>
      </c>
      <c r="D6" s="255" t="s">
        <v>374</v>
      </c>
      <c r="E6" s="254" t="s">
        <v>375</v>
      </c>
    </row>
    <row r="7" spans="2:5" ht="16" x14ac:dyDescent="0.2">
      <c r="C7" s="252" t="s">
        <v>23</v>
      </c>
      <c r="D7" s="255" t="s">
        <v>374</v>
      </c>
      <c r="E7" s="254" t="s">
        <v>375</v>
      </c>
    </row>
    <row r="8" spans="2:5" ht="16" x14ac:dyDescent="0.2">
      <c r="C8" s="252" t="s">
        <v>370</v>
      </c>
      <c r="D8" s="255" t="s">
        <v>374</v>
      </c>
      <c r="E8" s="254" t="s">
        <v>375</v>
      </c>
    </row>
    <row r="9" spans="2:5" ht="16" x14ac:dyDescent="0.2">
      <c r="C9" s="252" t="s">
        <v>72</v>
      </c>
      <c r="D9" s="255" t="s">
        <v>374</v>
      </c>
      <c r="E9" s="254" t="s">
        <v>375</v>
      </c>
    </row>
    <row r="10" spans="2:5" ht="16" x14ac:dyDescent="0.2">
      <c r="C10" s="252" t="s">
        <v>371</v>
      </c>
      <c r="D10" s="255" t="s">
        <v>374</v>
      </c>
      <c r="E10" s="254" t="s">
        <v>375</v>
      </c>
    </row>
    <row r="11" spans="2:5" ht="16" x14ac:dyDescent="0.2">
      <c r="C11" s="253" t="s">
        <v>372</v>
      </c>
      <c r="D11" s="255"/>
      <c r="E11" s="254"/>
    </row>
    <row r="12" spans="2:5" ht="16" x14ac:dyDescent="0.2">
      <c r="C12" s="252" t="s">
        <v>152</v>
      </c>
      <c r="D12" s="255" t="s">
        <v>374</v>
      </c>
      <c r="E12" s="254" t="s">
        <v>375</v>
      </c>
    </row>
    <row r="13" spans="2:5" ht="16" x14ac:dyDescent="0.2">
      <c r="C13" s="252" t="s">
        <v>200</v>
      </c>
      <c r="D13" s="255" t="s">
        <v>374</v>
      </c>
      <c r="E13" s="254" t="s">
        <v>375</v>
      </c>
    </row>
    <row r="14" spans="2:5" ht="16" x14ac:dyDescent="0.2">
      <c r="C14" s="252" t="s">
        <v>215</v>
      </c>
      <c r="D14" s="255" t="s">
        <v>374</v>
      </c>
      <c r="E14" s="254" t="s">
        <v>375</v>
      </c>
    </row>
    <row r="15" spans="2:5" ht="16" x14ac:dyDescent="0.2">
      <c r="C15" s="252" t="s">
        <v>237</v>
      </c>
      <c r="D15" s="255" t="s">
        <v>374</v>
      </c>
      <c r="E15" s="254" t="s">
        <v>375</v>
      </c>
    </row>
    <row r="16" spans="2:5" ht="16" x14ac:dyDescent="0.2">
      <c r="C16" s="252" t="s">
        <v>260</v>
      </c>
      <c r="D16" s="255" t="s">
        <v>374</v>
      </c>
      <c r="E16" s="254" t="s">
        <v>375</v>
      </c>
    </row>
    <row r="17" spans="3:5" ht="16" x14ac:dyDescent="0.2">
      <c r="C17" s="253" t="s">
        <v>373</v>
      </c>
      <c r="D17" s="255"/>
      <c r="E17" s="254"/>
    </row>
    <row r="18" spans="3:5" ht="16" x14ac:dyDescent="0.2">
      <c r="C18" s="252" t="s">
        <v>312</v>
      </c>
      <c r="D18" s="255" t="s">
        <v>374</v>
      </c>
      <c r="E18" s="254" t="s">
        <v>375</v>
      </c>
    </row>
    <row r="19" spans="3:5" ht="16" x14ac:dyDescent="0.2">
      <c r="C19" s="252" t="s">
        <v>326</v>
      </c>
      <c r="D19" s="255" t="s">
        <v>374</v>
      </c>
      <c r="E19" s="254" t="s">
        <v>375</v>
      </c>
    </row>
    <row r="20" spans="3:5" ht="16" x14ac:dyDescent="0.2">
      <c r="C20" s="252" t="s">
        <v>345</v>
      </c>
      <c r="D20" s="255" t="s">
        <v>374</v>
      </c>
      <c r="E20" s="254" t="s">
        <v>375</v>
      </c>
    </row>
  </sheetData>
  <hyperlinks>
    <hyperlink ref="E5" location="'P&amp;L'!A1" display="Click Here" xr:uid="{A5CA15AE-32E1-CB4A-88EA-5219AD353289}"/>
    <hyperlink ref="E6:E10" location="'P&amp;L'!A1" display="Click Here" xr:uid="{8B5D8E04-8251-4F4C-A8BB-61B63BB409C4}"/>
    <hyperlink ref="E12" location="'Activity Ratios'!A1" display="Click Here" xr:uid="{47BF9FD9-E69A-9B4B-84F9-59012E30C6D9}"/>
    <hyperlink ref="E6" location="'Common Size P&amp;L'!A1" display="Click Here" xr:uid="{39C43ACD-68CB-434B-B160-8A9323EB3CA1}"/>
    <hyperlink ref="E7" location="'Balance Sheet'!A1" display="Click Here" xr:uid="{FCC2F322-2A13-D645-A833-7C444526A92A}"/>
    <hyperlink ref="E8" location="'Common Size Balance Sheet '!A1" display="Click Here" xr:uid="{52AACDEF-0CB6-FD4E-91F6-BA9FD7FF4AAB}"/>
    <hyperlink ref="E9" location="'Cash Flow Statement'!A1" display="Click Here" xr:uid="{5D597D82-265E-4149-90DD-DECE1AFF00AF}"/>
    <hyperlink ref="E10" location="'Statement of Changes In Equity'!A1" display="Click Here" xr:uid="{2568FC59-EF69-7E41-B21A-65ED46B3B270}"/>
    <hyperlink ref="E13" location="'Liquidity Ratios'!A1" display="Click Here" xr:uid="{47C55390-D067-3940-840E-7C56E4F9B6E1}"/>
    <hyperlink ref="E14" location="'Solvency Ratios'!A1" display="Click Here" xr:uid="{83B5B8CD-B118-7C45-906A-149D6C9E99E6}"/>
    <hyperlink ref="E15" location="'Profitability Ratios'!A1" display="Click Here" xr:uid="{B6D26D33-007A-B848-A169-F9FBD4DEA9DB}"/>
    <hyperlink ref="E16" location="'Valuation Ratios'!A1" display="Click Here" xr:uid="{EA6DB12E-05BF-1245-8387-72B2CF88F6B9}"/>
    <hyperlink ref="E18" location="'Dupont Analysis'!A1" display="Click Here" xr:uid="{10BBB69D-2345-9C42-9D35-01B6189A077F}"/>
    <hyperlink ref="E19" location="'Altman''s Credit Score'!A1" display="Click Here" xr:uid="{F7CD2A03-D8E5-5548-8726-33F8CCDF41B2}"/>
    <hyperlink ref="E20" location="'Segment Reporting'!A1" display="Click Here" xr:uid="{1AFC9CC9-C868-324D-B9AE-9300CC710B3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555B-F6E6-5148-A8D5-BA8415E3A4AD}">
  <sheetPr codeName="Sheet1"/>
  <dimension ref="A1:P40"/>
  <sheetViews>
    <sheetView zoomScale="179" workbookViewId="0"/>
  </sheetViews>
  <sheetFormatPr baseColWidth="10" defaultRowHeight="13" x14ac:dyDescent="0.15"/>
  <cols>
    <col min="1" max="1" width="2.1640625" style="2" customWidth="1"/>
    <col min="2" max="2" width="48.33203125" style="7" bestFit="1" customWidth="1"/>
    <col min="3" max="4" width="10.1640625" style="7" bestFit="1" customWidth="1"/>
    <col min="5" max="6" width="12.5" style="7" bestFit="1" customWidth="1"/>
    <col min="7" max="7" width="2.1640625" style="7" customWidth="1"/>
    <col min="8" max="8" width="10.1640625" style="7" bestFit="1" customWidth="1"/>
    <col min="9" max="10" width="10" style="7" bestFit="1" customWidth="1"/>
    <col min="11" max="11" width="2.1640625" style="7" customWidth="1"/>
    <col min="12" max="16384" width="10.83203125" style="7"/>
  </cols>
  <sheetData>
    <row r="1" spans="1:16" s="2" customFormat="1" ht="16" x14ac:dyDescent="0.2">
      <c r="A1" s="254"/>
      <c r="B1" s="3" t="s">
        <v>0</v>
      </c>
      <c r="C1" s="3"/>
      <c r="D1" s="3"/>
      <c r="E1" s="3"/>
    </row>
    <row r="2" spans="1:16" s="2" customFormat="1" ht="16" x14ac:dyDescent="0.2">
      <c r="K2" s="51"/>
      <c r="L2" s="51"/>
      <c r="M2" s="51"/>
      <c r="N2" s="51"/>
      <c r="O2" s="51"/>
      <c r="P2" s="51"/>
    </row>
    <row r="3" spans="1:16" s="2" customFormat="1" ht="17" customHeight="1" thickBot="1" x14ac:dyDescent="0.25">
      <c r="B3" s="5" t="s">
        <v>19</v>
      </c>
      <c r="C3" s="6">
        <v>2022</v>
      </c>
      <c r="D3" s="6">
        <v>2023</v>
      </c>
      <c r="E3" s="6">
        <v>2024</v>
      </c>
      <c r="F3" s="6">
        <v>2025</v>
      </c>
      <c r="H3" s="11" t="s">
        <v>20</v>
      </c>
      <c r="I3" s="11" t="s">
        <v>21</v>
      </c>
      <c r="J3" s="11" t="s">
        <v>22</v>
      </c>
      <c r="K3" s="51"/>
      <c r="L3" s="51"/>
      <c r="M3" s="51"/>
      <c r="N3" s="51"/>
      <c r="O3" s="51"/>
      <c r="P3" s="51"/>
    </row>
    <row r="4" spans="1:16" s="2" customFormat="1" ht="16" x14ac:dyDescent="0.2">
      <c r="B4" s="118" t="s">
        <v>13</v>
      </c>
      <c r="C4" s="13">
        <v>279050</v>
      </c>
      <c r="D4" s="13">
        <v>322284</v>
      </c>
      <c r="E4" s="13">
        <v>324656</v>
      </c>
      <c r="F4" s="13">
        <v>321913</v>
      </c>
      <c r="H4" s="95">
        <f>D4/C4-1</f>
        <v>0.1549328077405483</v>
      </c>
      <c r="I4" s="95">
        <f t="shared" ref="I4:J4" si="0">E4/D4-1</f>
        <v>7.3599682267813105E-3</v>
      </c>
      <c r="J4" s="95">
        <f t="shared" si="0"/>
        <v>-8.4489428810803346E-3</v>
      </c>
      <c r="K4" s="51"/>
    </row>
    <row r="5" spans="1:16" s="2" customFormat="1" ht="17" thickBot="1" x14ac:dyDescent="0.25">
      <c r="B5" s="118" t="s">
        <v>14</v>
      </c>
      <c r="C5" s="13">
        <v>-226866</v>
      </c>
      <c r="D5" s="13">
        <v>-261262</v>
      </c>
      <c r="E5" s="13">
        <v>-265184</v>
      </c>
      <c r="F5" s="13">
        <v>-270671</v>
      </c>
      <c r="H5" s="95">
        <f t="shared" ref="H5:H21" si="1">D5/C5-1</f>
        <v>0.15161372792749894</v>
      </c>
      <c r="I5" s="95">
        <f t="shared" ref="I5:I21" si="2">E5/D5-1</f>
        <v>1.5011750656429124E-2</v>
      </c>
      <c r="J5" s="95">
        <f t="shared" ref="J5:J21" si="3">F5/E5-1</f>
        <v>2.0691293592373539E-2</v>
      </c>
      <c r="K5" s="51"/>
    </row>
    <row r="6" spans="1:16" s="2" customFormat="1" ht="16" x14ac:dyDescent="0.2">
      <c r="B6" s="18" t="s">
        <v>15</v>
      </c>
      <c r="C6" s="18">
        <v>52184</v>
      </c>
      <c r="D6" s="18">
        <v>61022</v>
      </c>
      <c r="E6" s="18">
        <v>59472</v>
      </c>
      <c r="F6" s="18">
        <v>51243</v>
      </c>
      <c r="G6" s="18"/>
      <c r="H6" s="96">
        <f t="shared" si="1"/>
        <v>0.16936225663038473</v>
      </c>
      <c r="I6" s="96">
        <f t="shared" si="2"/>
        <v>-2.5400675166333486E-2</v>
      </c>
      <c r="J6" s="96">
        <f t="shared" si="3"/>
        <v>-0.1383676351896691</v>
      </c>
      <c r="K6" s="51"/>
    </row>
    <row r="7" spans="1:16" s="2" customFormat="1" ht="16" x14ac:dyDescent="0.2">
      <c r="B7" s="118" t="s">
        <v>1</v>
      </c>
      <c r="C7" s="13">
        <v>-19840</v>
      </c>
      <c r="D7" s="13">
        <v>-21340</v>
      </c>
      <c r="E7" s="13">
        <v>-22320</v>
      </c>
      <c r="F7" s="13">
        <v>-22804</v>
      </c>
      <c r="H7" s="95">
        <f t="shared" si="1"/>
        <v>7.5604838709677491E-2</v>
      </c>
      <c r="I7" s="95">
        <f t="shared" si="2"/>
        <v>4.5923149015932418E-2</v>
      </c>
      <c r="J7" s="95">
        <f t="shared" si="3"/>
        <v>2.1684587813620038E-2</v>
      </c>
      <c r="K7" s="51"/>
    </row>
    <row r="8" spans="1:16" s="2" customFormat="1" ht="16" x14ac:dyDescent="0.2">
      <c r="B8" s="118" t="s">
        <v>2</v>
      </c>
      <c r="C8" s="13">
        <v>-11655</v>
      </c>
      <c r="D8" s="13">
        <v>-12724</v>
      </c>
      <c r="E8" s="13">
        <v>-12754</v>
      </c>
      <c r="F8" s="13">
        <v>-12541</v>
      </c>
      <c r="H8" s="95">
        <f t="shared" si="1"/>
        <v>9.1720291720291725E-2</v>
      </c>
      <c r="I8" s="95">
        <f t="shared" si="2"/>
        <v>2.3577491354920266E-3</v>
      </c>
      <c r="J8" s="95">
        <f t="shared" si="3"/>
        <v>-1.6700642935549626E-2</v>
      </c>
      <c r="K8" s="51"/>
    </row>
    <row r="9" spans="1:16" s="2" customFormat="1" ht="16" x14ac:dyDescent="0.2">
      <c r="B9" s="118" t="s">
        <v>3</v>
      </c>
      <c r="C9" s="13">
        <v>19234</v>
      </c>
      <c r="D9" s="13">
        <v>15152</v>
      </c>
      <c r="E9" s="13">
        <v>14974</v>
      </c>
      <c r="F9" s="13">
        <v>13615</v>
      </c>
      <c r="H9" s="95">
        <f t="shared" si="1"/>
        <v>-0.2122283456379328</v>
      </c>
      <c r="I9" s="95">
        <f t="shared" si="2"/>
        <v>-1.1747624076029584E-2</v>
      </c>
      <c r="J9" s="95">
        <f t="shared" si="3"/>
        <v>-9.0757312675303847E-2</v>
      </c>
      <c r="K9" s="51"/>
    </row>
    <row r="10" spans="1:16" s="2" customFormat="1" ht="17" thickBot="1" x14ac:dyDescent="0.25">
      <c r="B10" s="118" t="s">
        <v>4</v>
      </c>
      <c r="C10" s="13">
        <v>-17813</v>
      </c>
      <c r="D10" s="13">
        <v>-19534</v>
      </c>
      <c r="E10" s="13">
        <v>-20312</v>
      </c>
      <c r="F10" s="13">
        <v>-20644</v>
      </c>
      <c r="H10" s="95">
        <f t="shared" si="1"/>
        <v>9.66148318643687E-2</v>
      </c>
      <c r="I10" s="95">
        <f t="shared" si="2"/>
        <v>3.9827992218695707E-2</v>
      </c>
      <c r="J10" s="95">
        <f t="shared" si="3"/>
        <v>1.6345017723513156E-2</v>
      </c>
      <c r="K10" s="51"/>
    </row>
    <row r="11" spans="1:16" s="2" customFormat="1" ht="16" x14ac:dyDescent="0.2">
      <c r="B11" s="18" t="s">
        <v>16</v>
      </c>
      <c r="C11" s="18">
        <v>22109</v>
      </c>
      <c r="D11" s="18">
        <v>22576</v>
      </c>
      <c r="E11" s="18">
        <v>19060</v>
      </c>
      <c r="F11" s="18">
        <v>8868</v>
      </c>
      <c r="H11" s="97">
        <f t="shared" si="1"/>
        <v>2.1122619747614202E-2</v>
      </c>
      <c r="I11" s="97">
        <f t="shared" si="2"/>
        <v>-0.15574060949681079</v>
      </c>
      <c r="J11" s="97">
        <f t="shared" si="3"/>
        <v>-0.53473242392444909</v>
      </c>
      <c r="K11" s="51"/>
    </row>
    <row r="12" spans="1:16" s="2" customFormat="1" ht="16" x14ac:dyDescent="0.2">
      <c r="B12" s="118" t="s">
        <v>5</v>
      </c>
      <c r="C12" s="13">
        <v>2403</v>
      </c>
      <c r="D12" s="13">
        <v>2291</v>
      </c>
      <c r="E12" s="13">
        <v>375</v>
      </c>
      <c r="F12" s="13">
        <v>930</v>
      </c>
      <c r="H12" s="95">
        <f t="shared" si="1"/>
        <v>-4.6608406158967997E-2</v>
      </c>
      <c r="I12" s="95">
        <f t="shared" si="2"/>
        <v>-0.83631601920558707</v>
      </c>
      <c r="J12" s="95">
        <f t="shared" si="3"/>
        <v>1.48</v>
      </c>
      <c r="K12" s="51"/>
    </row>
    <row r="13" spans="1:16" s="2" customFormat="1" ht="16" x14ac:dyDescent="0.2">
      <c r="B13" s="118" t="s">
        <v>6</v>
      </c>
      <c r="C13" s="13">
        <v>1325</v>
      </c>
      <c r="D13" s="13">
        <v>2658</v>
      </c>
      <c r="E13" s="13">
        <v>2419</v>
      </c>
      <c r="F13" s="13">
        <v>1824</v>
      </c>
      <c r="H13" s="95">
        <f t="shared" si="1"/>
        <v>1.0060377358490564</v>
      </c>
      <c r="I13" s="95">
        <f t="shared" si="2"/>
        <v>-8.991723100075244E-2</v>
      </c>
      <c r="J13" s="95">
        <f t="shared" si="3"/>
        <v>-0.24596940884663088</v>
      </c>
      <c r="K13" s="51"/>
    </row>
    <row r="14" spans="1:16" s="2" customFormat="1" ht="16" x14ac:dyDescent="0.2">
      <c r="B14" s="118" t="s">
        <v>7</v>
      </c>
      <c r="C14" s="13">
        <v>-408</v>
      </c>
      <c r="D14" s="13">
        <v>-3592</v>
      </c>
      <c r="E14" s="13">
        <v>-3446</v>
      </c>
      <c r="F14" s="13">
        <v>-3245</v>
      </c>
      <c r="H14" s="95">
        <f t="shared" si="1"/>
        <v>7.8039215686274517</v>
      </c>
      <c r="I14" s="95">
        <f t="shared" si="2"/>
        <v>-4.0645879732739476E-2</v>
      </c>
      <c r="J14" s="95">
        <f t="shared" si="3"/>
        <v>-5.8328496807893204E-2</v>
      </c>
      <c r="K14" s="51"/>
    </row>
    <row r="15" spans="1:16" s="2" customFormat="1" ht="16" x14ac:dyDescent="0.2">
      <c r="B15" s="118" t="s">
        <v>8</v>
      </c>
      <c r="C15" s="13">
        <v>-3359</v>
      </c>
      <c r="D15" s="13">
        <v>-739</v>
      </c>
      <c r="E15" s="13">
        <v>-1602</v>
      </c>
      <c r="F15" s="13">
        <v>930</v>
      </c>
      <c r="H15" s="95">
        <f t="shared" si="1"/>
        <v>-0.77999404584697829</v>
      </c>
      <c r="I15" s="95">
        <f t="shared" si="2"/>
        <v>1.1677943166441138</v>
      </c>
      <c r="J15" s="95">
        <f t="shared" si="3"/>
        <v>-1.5805243445692883</v>
      </c>
      <c r="K15" s="51"/>
    </row>
    <row r="16" spans="1:16" s="2" customFormat="1" ht="17" thickBot="1" x14ac:dyDescent="0.25">
      <c r="B16" s="118" t="s">
        <v>9</v>
      </c>
      <c r="C16" s="13">
        <v>-40</v>
      </c>
      <c r="D16" s="13">
        <v>618</v>
      </c>
      <c r="E16" s="13">
        <v>-2255</v>
      </c>
      <c r="F16" s="13">
        <v>439</v>
      </c>
      <c r="H16" s="95">
        <f t="shared" si="1"/>
        <v>-16.45</v>
      </c>
      <c r="I16" s="95">
        <f t="shared" si="2"/>
        <v>-4.6488673139158578</v>
      </c>
      <c r="J16" s="95">
        <f t="shared" si="3"/>
        <v>-1.1946784922394678</v>
      </c>
      <c r="K16" s="51"/>
    </row>
    <row r="17" spans="2:14" s="2" customFormat="1" ht="16" x14ac:dyDescent="0.2">
      <c r="B17" s="18" t="s">
        <v>17</v>
      </c>
      <c r="C17" s="18">
        <v>22070</v>
      </c>
      <c r="D17" s="18">
        <v>23194</v>
      </c>
      <c r="E17" s="18">
        <v>16806</v>
      </c>
      <c r="F17" s="18">
        <v>9307</v>
      </c>
      <c r="H17" s="97">
        <f t="shared" si="1"/>
        <v>5.0928862709560541E-2</v>
      </c>
      <c r="I17" s="97">
        <f t="shared" si="2"/>
        <v>-0.27541605587651974</v>
      </c>
      <c r="J17" s="97">
        <f t="shared" si="3"/>
        <v>-0.44620968701654173</v>
      </c>
      <c r="K17" s="51"/>
    </row>
    <row r="18" spans="2:14" s="2" customFormat="1" ht="16" x14ac:dyDescent="0.2">
      <c r="B18" s="118" t="s">
        <v>10</v>
      </c>
      <c r="C18" s="13">
        <f>SUM(C19:C20)</f>
        <v>-6217</v>
      </c>
      <c r="D18" s="13">
        <v>-5266</v>
      </c>
      <c r="E18" s="13">
        <v>-4411</v>
      </c>
      <c r="F18" s="13">
        <v>-2403</v>
      </c>
      <c r="H18" s="95">
        <f t="shared" si="1"/>
        <v>-0.15296766929387162</v>
      </c>
      <c r="I18" s="95">
        <f t="shared" si="2"/>
        <v>-0.16236232434485376</v>
      </c>
      <c r="J18" s="95">
        <f t="shared" si="3"/>
        <v>-0.45522557243255501</v>
      </c>
      <c r="K18" s="51"/>
    </row>
    <row r="19" spans="2:14" s="2" customFormat="1" ht="16" x14ac:dyDescent="0.2">
      <c r="B19" s="118" t="s">
        <v>11</v>
      </c>
      <c r="C19" s="13">
        <v>-5263</v>
      </c>
      <c r="D19" s="13">
        <v>-6791</v>
      </c>
      <c r="E19" s="13">
        <v>-5858</v>
      </c>
      <c r="F19" s="13">
        <v>-3837</v>
      </c>
      <c r="H19" s="95">
        <f t="shared" si="1"/>
        <v>0.29032870986129589</v>
      </c>
      <c r="I19" s="95">
        <f t="shared" si="2"/>
        <v>-0.13738771903990576</v>
      </c>
      <c r="J19" s="95">
        <f t="shared" si="3"/>
        <v>-0.34499829293274153</v>
      </c>
      <c r="K19" s="51"/>
    </row>
    <row r="20" spans="2:14" s="2" customFormat="1" ht="17" thickBot="1" x14ac:dyDescent="0.25">
      <c r="B20" s="118" t="s">
        <v>12</v>
      </c>
      <c r="C20" s="13">
        <v>-954</v>
      </c>
      <c r="D20" s="13">
        <v>1526</v>
      </c>
      <c r="E20" s="13">
        <v>1447</v>
      </c>
      <c r="F20" s="13">
        <v>1434</v>
      </c>
      <c r="H20" s="95">
        <f t="shared" si="1"/>
        <v>-2.59958071278826</v>
      </c>
      <c r="I20" s="95">
        <f t="shared" si="2"/>
        <v>-5.1769331585845402E-2</v>
      </c>
      <c r="J20" s="95">
        <f t="shared" si="3"/>
        <v>-8.9841050449205317E-3</v>
      </c>
      <c r="K20" s="51"/>
    </row>
    <row r="21" spans="2:14" s="2" customFormat="1" ht="17" thickBot="1" x14ac:dyDescent="0.25">
      <c r="B21" s="8" t="s">
        <v>18</v>
      </c>
      <c r="C21" s="9">
        <v>15852</v>
      </c>
      <c r="D21" s="9">
        <v>17928</v>
      </c>
      <c r="E21" s="9">
        <v>12394</v>
      </c>
      <c r="F21" s="9">
        <v>6904</v>
      </c>
      <c r="H21" s="98">
        <f t="shared" si="1"/>
        <v>0.13096139288417863</v>
      </c>
      <c r="I21" s="98">
        <f t="shared" si="2"/>
        <v>-0.30867916108879967</v>
      </c>
      <c r="J21" s="98">
        <f t="shared" si="3"/>
        <v>-0.44295626916249797</v>
      </c>
      <c r="K21" s="51"/>
    </row>
    <row r="22" spans="2:14" s="2" customFormat="1" ht="14" thickTop="1" x14ac:dyDescent="0.15">
      <c r="F22" s="4"/>
      <c r="G22" s="4"/>
      <c r="H22" s="4"/>
    </row>
    <row r="23" spans="2:14" s="2" customFormat="1" ht="16" x14ac:dyDescent="0.2">
      <c r="B23" s="52" t="s">
        <v>236</v>
      </c>
      <c r="C23" s="117">
        <v>1832</v>
      </c>
      <c r="D23" s="117">
        <v>1986</v>
      </c>
      <c r="E23" s="117">
        <v>2098</v>
      </c>
      <c r="F23" s="117">
        <v>2200</v>
      </c>
      <c r="G23" s="51"/>
      <c r="H23" s="51"/>
      <c r="I23" s="51"/>
      <c r="J23" s="51"/>
      <c r="K23" s="51"/>
      <c r="L23" s="51"/>
      <c r="M23" s="51"/>
      <c r="N23" s="51"/>
    </row>
    <row r="24" spans="2:14" s="2" customFormat="1" ht="16" x14ac:dyDescent="0.2">
      <c r="B24" s="120" t="s">
        <v>280</v>
      </c>
      <c r="C24" s="52"/>
      <c r="D24" s="52"/>
      <c r="E24" s="51"/>
      <c r="F24" s="51"/>
      <c r="G24" s="51"/>
      <c r="H24" s="51"/>
      <c r="I24" s="51"/>
      <c r="J24" s="51"/>
      <c r="K24" s="51"/>
      <c r="L24" s="51"/>
      <c r="M24" s="51"/>
      <c r="N24" s="51"/>
    </row>
    <row r="25" spans="2:14" s="2" customFormat="1" ht="16" x14ac:dyDescent="0.2">
      <c r="B25" s="120" t="s">
        <v>281</v>
      </c>
      <c r="C25" s="119">
        <v>295089818</v>
      </c>
      <c r="D25" s="119">
        <v>295089818</v>
      </c>
      <c r="E25" s="119">
        <v>295089818</v>
      </c>
      <c r="F25" s="119">
        <v>295089818</v>
      </c>
      <c r="G25" s="51"/>
      <c r="H25" s="51"/>
      <c r="I25" s="51"/>
      <c r="J25" s="51"/>
      <c r="K25" s="51"/>
      <c r="L25" s="51"/>
      <c r="M25" s="51"/>
      <c r="N25" s="51"/>
    </row>
    <row r="26" spans="2:14" s="2" customFormat="1" ht="16" x14ac:dyDescent="0.2">
      <c r="B26" s="120" t="s">
        <v>282</v>
      </c>
      <c r="C26" s="119">
        <v>206205445</v>
      </c>
      <c r="D26" s="119">
        <v>206205445</v>
      </c>
      <c r="E26" s="119">
        <v>206205445</v>
      </c>
      <c r="F26" s="119">
        <v>206205445</v>
      </c>
      <c r="G26" s="51"/>
      <c r="H26" s="51"/>
      <c r="I26" s="51"/>
      <c r="J26" s="51"/>
      <c r="K26" s="51"/>
      <c r="L26" s="51"/>
      <c r="M26" s="51"/>
      <c r="N26" s="51"/>
    </row>
    <row r="27" spans="2:14" s="2" customFormat="1" ht="16" x14ac:dyDescent="0.2">
      <c r="B27" s="120" t="s">
        <v>134</v>
      </c>
      <c r="C27" s="119">
        <v>15852</v>
      </c>
      <c r="D27" s="119">
        <v>17928</v>
      </c>
      <c r="E27" s="119">
        <v>12394</v>
      </c>
      <c r="F27" s="119">
        <v>6904</v>
      </c>
      <c r="G27" s="51"/>
      <c r="H27" s="51"/>
      <c r="I27" s="51"/>
      <c r="J27" s="51"/>
      <c r="K27" s="51"/>
      <c r="L27" s="51"/>
      <c r="M27" s="51"/>
      <c r="N27" s="51"/>
    </row>
    <row r="28" spans="2:14" s="2" customFormat="1" ht="16" x14ac:dyDescent="0.2">
      <c r="B28" s="120" t="s">
        <v>283</v>
      </c>
      <c r="C28" s="119">
        <v>395</v>
      </c>
      <c r="D28" s="119">
        <v>1329</v>
      </c>
      <c r="E28" s="119">
        <v>1043</v>
      </c>
      <c r="F28" s="119">
        <v>-419</v>
      </c>
      <c r="G28" s="51"/>
      <c r="H28" s="51"/>
      <c r="I28" s="51"/>
      <c r="J28" s="51"/>
      <c r="K28" s="51"/>
      <c r="L28" s="51"/>
      <c r="M28" s="51"/>
      <c r="N28" s="51"/>
    </row>
    <row r="29" spans="2:14" s="2" customFormat="1" ht="16" x14ac:dyDescent="0.2">
      <c r="B29" s="120" t="s">
        <v>284</v>
      </c>
      <c r="C29" s="119">
        <v>576</v>
      </c>
      <c r="D29" s="119">
        <v>586</v>
      </c>
      <c r="E29" s="119">
        <v>630</v>
      </c>
      <c r="F29" s="119">
        <v>650</v>
      </c>
      <c r="G29" s="51"/>
      <c r="H29" s="51"/>
      <c r="I29" s="51"/>
      <c r="J29" s="51"/>
      <c r="K29" s="51"/>
      <c r="L29" s="51"/>
      <c r="M29" s="51"/>
      <c r="N29" s="51"/>
    </row>
    <row r="30" spans="2:14" s="2" customFormat="1" ht="16" x14ac:dyDescent="0.2">
      <c r="B30" s="120" t="s">
        <v>285</v>
      </c>
      <c r="C30" s="119">
        <v>14881</v>
      </c>
      <c r="D30" s="119">
        <v>16013</v>
      </c>
      <c r="E30" s="119">
        <v>10721</v>
      </c>
      <c r="F30" s="119">
        <v>6673</v>
      </c>
      <c r="G30" s="51"/>
      <c r="H30" s="51"/>
      <c r="I30" s="51"/>
      <c r="J30" s="51"/>
      <c r="K30" s="51"/>
      <c r="L30" s="51"/>
      <c r="M30" s="51"/>
      <c r="N30" s="51"/>
    </row>
    <row r="31" spans="2:14" s="2" customFormat="1" ht="16" x14ac:dyDescent="0.2">
      <c r="B31" s="120" t="s">
        <v>286</v>
      </c>
      <c r="C31" s="119">
        <v>8753</v>
      </c>
      <c r="D31" s="119">
        <v>9419</v>
      </c>
      <c r="E31" s="119">
        <v>6304</v>
      </c>
      <c r="F31" s="119">
        <v>3921</v>
      </c>
      <c r="G31" s="51"/>
      <c r="H31" s="51"/>
      <c r="I31" s="51"/>
      <c r="J31" s="51"/>
      <c r="K31" s="51"/>
      <c r="L31" s="51"/>
      <c r="M31" s="51"/>
      <c r="N31" s="51"/>
    </row>
    <row r="32" spans="2:14" s="2" customFormat="1" ht="16" x14ac:dyDescent="0.2">
      <c r="B32" s="120" t="s">
        <v>287</v>
      </c>
      <c r="C32" s="119">
        <v>6129</v>
      </c>
      <c r="D32" s="119">
        <v>6594</v>
      </c>
      <c r="E32" s="119">
        <v>4417</v>
      </c>
      <c r="F32" s="119">
        <v>2752</v>
      </c>
      <c r="G32" s="51"/>
      <c r="H32" s="51"/>
      <c r="I32" s="51"/>
      <c r="J32" s="51"/>
      <c r="K32" s="51"/>
      <c r="L32" s="51"/>
      <c r="M32" s="51"/>
      <c r="N32" s="51"/>
    </row>
    <row r="33" spans="2:6" x14ac:dyDescent="0.15">
      <c r="B33" s="52" t="s">
        <v>289</v>
      </c>
      <c r="C33" s="52">
        <v>147.65</v>
      </c>
      <c r="D33" s="52">
        <v>118.45</v>
      </c>
      <c r="E33" s="52">
        <v>92.15</v>
      </c>
      <c r="F33" s="52">
        <v>105.1</v>
      </c>
    </row>
    <row r="34" spans="2:6" x14ac:dyDescent="0.15">
      <c r="B34" s="52" t="s">
        <v>290</v>
      </c>
      <c r="C34" s="52">
        <v>116.42</v>
      </c>
      <c r="D34" s="52">
        <v>111.8</v>
      </c>
      <c r="E34" s="52">
        <v>89.04</v>
      </c>
      <c r="F34" s="52">
        <v>103.55</v>
      </c>
    </row>
    <row r="35" spans="2:6" x14ac:dyDescent="0.15">
      <c r="B35" s="52" t="s">
        <v>300</v>
      </c>
      <c r="C35" s="119">
        <f>67.6*1000</f>
        <v>67600</v>
      </c>
      <c r="D35" s="119">
        <v>58000</v>
      </c>
      <c r="E35" s="119">
        <v>45600</v>
      </c>
      <c r="F35" s="119">
        <v>52400</v>
      </c>
    </row>
    <row r="36" spans="2:6" x14ac:dyDescent="0.15">
      <c r="B36" s="52" t="s">
        <v>304</v>
      </c>
      <c r="C36" s="121">
        <v>8.6999999999999993</v>
      </c>
      <c r="D36" s="121">
        <v>9</v>
      </c>
      <c r="E36" s="121">
        <v>6.3</v>
      </c>
      <c r="F36" s="121">
        <v>5.2</v>
      </c>
    </row>
    <row r="37" spans="2:6" x14ac:dyDescent="0.15">
      <c r="B37" s="52" t="s">
        <v>305</v>
      </c>
      <c r="C37" s="52">
        <v>8.76</v>
      </c>
      <c r="D37" s="52">
        <v>9.06</v>
      </c>
      <c r="E37" s="52">
        <v>6.36</v>
      </c>
      <c r="F37" s="52">
        <v>5.26</v>
      </c>
    </row>
    <row r="38" spans="2:6" x14ac:dyDescent="0.15">
      <c r="B38" s="52" t="s">
        <v>278</v>
      </c>
      <c r="C38" s="119">
        <v>2567</v>
      </c>
      <c r="D38" s="119">
        <v>2656</v>
      </c>
      <c r="E38" s="119">
        <v>1859</v>
      </c>
      <c r="F38" s="119">
        <v>1534</v>
      </c>
    </row>
    <row r="39" spans="2:6" x14ac:dyDescent="0.15">
      <c r="B39" s="52" t="s">
        <v>279</v>
      </c>
      <c r="C39" s="119">
        <v>1806</v>
      </c>
      <c r="D39" s="119">
        <v>1868</v>
      </c>
      <c r="E39" s="119">
        <v>1311</v>
      </c>
      <c r="F39" s="119">
        <v>1085</v>
      </c>
    </row>
    <row r="40" spans="2:6" x14ac:dyDescent="0.15">
      <c r="B40" s="52" t="s">
        <v>311</v>
      </c>
      <c r="C40" s="119">
        <f>SUM(C38:C39)</f>
        <v>4373</v>
      </c>
      <c r="D40" s="119">
        <f t="shared" ref="D40:F40" si="4">SUM(D38:D39)</f>
        <v>4524</v>
      </c>
      <c r="E40" s="119">
        <f t="shared" si="4"/>
        <v>3170</v>
      </c>
      <c r="F40" s="119">
        <f t="shared" si="4"/>
        <v>2619</v>
      </c>
    </row>
  </sheetData>
  <conditionalFormatting sqref="H4:J21">
    <cfRule type="iconSet" priority="1">
      <iconSet>
        <cfvo type="percent" val="0"/>
        <cfvo type="num" val="-0.1"/>
        <cfvo type="num" val="0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5118-4452-EC42-9658-E945C1FAB5C3}">
  <dimension ref="A1:P42"/>
  <sheetViews>
    <sheetView zoomScale="179" workbookViewId="0"/>
  </sheetViews>
  <sheetFormatPr baseColWidth="10" defaultRowHeight="13" x14ac:dyDescent="0.15"/>
  <cols>
    <col min="1" max="1" width="2.1640625" style="2" customWidth="1"/>
    <col min="2" max="2" width="48.33203125" style="7" bestFit="1" customWidth="1"/>
    <col min="3" max="4" width="10.1640625" style="7" bestFit="1" customWidth="1"/>
    <col min="5" max="6" width="12.5" style="7" bestFit="1" customWidth="1"/>
    <col min="7" max="7" width="2.1640625" style="7" customWidth="1"/>
    <col min="8" max="8" width="12.5" style="7" bestFit="1" customWidth="1"/>
    <col min="9" max="10" width="10" style="7" bestFit="1" customWidth="1"/>
    <col min="11" max="11" width="2.1640625" style="7" customWidth="1"/>
    <col min="12" max="16384" width="10.83203125" style="7"/>
  </cols>
  <sheetData>
    <row r="1" spans="2:16" s="2" customFormat="1" x14ac:dyDescent="0.15">
      <c r="B1" s="3" t="s">
        <v>363</v>
      </c>
      <c r="C1" s="3"/>
      <c r="D1" s="3"/>
      <c r="E1" s="3"/>
    </row>
    <row r="2" spans="2:16" s="2" customFormat="1" ht="16" x14ac:dyDescent="0.2">
      <c r="K2" s="51"/>
      <c r="L2" s="51"/>
      <c r="M2" s="51"/>
      <c r="N2" s="51"/>
      <c r="O2" s="51"/>
      <c r="P2" s="51"/>
    </row>
    <row r="3" spans="2:16" s="2" customFormat="1" ht="17" customHeight="1" thickBot="1" x14ac:dyDescent="0.25">
      <c r="B3" s="5" t="s">
        <v>19</v>
      </c>
      <c r="C3" s="6">
        <v>2022</v>
      </c>
      <c r="D3" s="6">
        <v>2023</v>
      </c>
      <c r="E3" s="6">
        <v>2024</v>
      </c>
      <c r="F3" s="6">
        <v>2025</v>
      </c>
      <c r="H3" s="11" t="s">
        <v>20</v>
      </c>
      <c r="I3" s="11" t="s">
        <v>21</v>
      </c>
      <c r="J3" s="11" t="s">
        <v>22</v>
      </c>
      <c r="K3" s="51"/>
      <c r="L3" s="51"/>
      <c r="M3" s="51"/>
      <c r="N3" s="51"/>
      <c r="O3" s="51"/>
      <c r="P3" s="51"/>
    </row>
    <row r="4" spans="2:16" s="2" customFormat="1" ht="16" x14ac:dyDescent="0.2">
      <c r="B4" s="118" t="s">
        <v>13</v>
      </c>
      <c r="C4" s="240">
        <f>'P&amp;L'!C4/'P&amp;L'!$C$4</f>
        <v>1</v>
      </c>
      <c r="D4" s="240">
        <f>'P&amp;L'!D4/'P&amp;L'!$D$4</f>
        <v>1</v>
      </c>
      <c r="E4" s="240">
        <f>'P&amp;L'!E4/'P&amp;L'!$E$4</f>
        <v>1</v>
      </c>
      <c r="F4" s="240">
        <f>'P&amp;L'!F4/'P&amp;L'!$F$4</f>
        <v>1</v>
      </c>
      <c r="H4" s="239">
        <f>D4/C4-1</f>
        <v>0</v>
      </c>
      <c r="I4" s="95">
        <f t="shared" ref="I4:J19" si="0">E4/D4-1</f>
        <v>0</v>
      </c>
      <c r="J4" s="95">
        <f t="shared" si="0"/>
        <v>0</v>
      </c>
      <c r="K4" s="51"/>
    </row>
    <row r="5" spans="2:16" s="2" customFormat="1" ht="17" thickBot="1" x14ac:dyDescent="0.25">
      <c r="B5" s="118" t="s">
        <v>14</v>
      </c>
      <c r="C5" s="240">
        <f>'P&amp;L'!C5/'P&amp;L'!$C$4</f>
        <v>-0.81299408708116827</v>
      </c>
      <c r="D5" s="240">
        <f>'P&amp;L'!D5/'P&amp;L'!$D$4</f>
        <v>-0.81065768080326672</v>
      </c>
      <c r="E5" s="240">
        <f>'P&amp;L'!E5/'P&amp;L'!$E$4</f>
        <v>-0.81681533684884922</v>
      </c>
      <c r="F5" s="240">
        <f>'P&amp;L'!F5/'P&amp;L'!$F$4</f>
        <v>-0.84082034586984677</v>
      </c>
      <c r="H5" s="239">
        <f>D5/C5-1</f>
        <v>-2.8738293611577648E-3</v>
      </c>
      <c r="I5" s="95">
        <f t="shared" si="0"/>
        <v>7.5958770161543843E-3</v>
      </c>
      <c r="J5" s="95">
        <f t="shared" si="0"/>
        <v>2.9388538557081123E-2</v>
      </c>
      <c r="K5" s="51"/>
    </row>
    <row r="6" spans="2:16" s="2" customFormat="1" ht="16" x14ac:dyDescent="0.2">
      <c r="B6" s="18" t="s">
        <v>15</v>
      </c>
      <c r="C6" s="96">
        <f>'P&amp;L'!C6/'P&amp;L'!$C$4</f>
        <v>0.18700591291883176</v>
      </c>
      <c r="D6" s="96">
        <f>'P&amp;L'!D6/'P&amp;L'!$D$4</f>
        <v>0.18934231919673331</v>
      </c>
      <c r="E6" s="96">
        <f>'P&amp;L'!E6/'P&amp;L'!$E$4</f>
        <v>0.18318466315115076</v>
      </c>
      <c r="F6" s="96">
        <f>'P&amp;L'!F6/'P&amp;L'!$F$4</f>
        <v>0.15918276055953007</v>
      </c>
      <c r="G6" s="18"/>
      <c r="H6" s="27">
        <f>D6/C6-1</f>
        <v>1.2493756167569092E-2</v>
      </c>
      <c r="I6" s="96">
        <f t="shared" si="0"/>
        <v>-3.2521287748591088E-2</v>
      </c>
      <c r="J6" s="96">
        <f t="shared" si="0"/>
        <v>-0.13102572114247391</v>
      </c>
      <c r="K6" s="51"/>
    </row>
    <row r="7" spans="2:16" s="2" customFormat="1" ht="16" x14ac:dyDescent="0.2">
      <c r="B7" s="118" t="s">
        <v>1</v>
      </c>
      <c r="C7" s="240">
        <f>'P&amp;L'!C7/'P&amp;L'!$C$4</f>
        <v>-7.1098369467837305E-2</v>
      </c>
      <c r="D7" s="240">
        <f>'P&amp;L'!D7/'P&amp;L'!$D$4</f>
        <v>-6.6214891213960361E-2</v>
      </c>
      <c r="E7" s="240">
        <f>'P&amp;L'!E7/'P&amp;L'!$E$4</f>
        <v>-6.874969198166675E-2</v>
      </c>
      <c r="F7" s="240">
        <f>'P&amp;L'!F7/'P&amp;L'!$F$4</f>
        <v>-7.0839015510401879E-2</v>
      </c>
      <c r="H7" s="239">
        <f>D7/C7-1</f>
        <v>-6.8686220098002071E-2</v>
      </c>
      <c r="I7" s="95">
        <f t="shared" si="0"/>
        <v>3.8281430675702222E-2</v>
      </c>
      <c r="J7" s="95">
        <f t="shared" si="0"/>
        <v>3.039029657459813E-2</v>
      </c>
      <c r="K7" s="51"/>
    </row>
    <row r="8" spans="2:16" s="2" customFormat="1" ht="16" x14ac:dyDescent="0.2">
      <c r="B8" s="118" t="s">
        <v>2</v>
      </c>
      <c r="C8" s="240">
        <f>'P&amp;L'!C8/'P&amp;L'!$C$4</f>
        <v>-4.1766708475183656E-2</v>
      </c>
      <c r="D8" s="240">
        <f>'P&amp;L'!D8/'P&amp;L'!$D$4</f>
        <v>-3.9480706457658464E-2</v>
      </c>
      <c r="E8" s="240">
        <f>'P&amp;L'!E8/'P&amp;L'!$E$4</f>
        <v>-3.9284658222857427E-2</v>
      </c>
      <c r="F8" s="240">
        <f>'P&amp;L'!F8/'P&amp;L'!$F$4</f>
        <v>-3.8957730815468779E-2</v>
      </c>
      <c r="H8" s="239">
        <f>D8/C8-1</f>
        <v>-5.4732635177211941E-2</v>
      </c>
      <c r="I8" s="95">
        <f t="shared" si="0"/>
        <v>-4.9656719038523311E-3</v>
      </c>
      <c r="J8" s="95">
        <f t="shared" si="0"/>
        <v>-8.3220122607158276E-3</v>
      </c>
      <c r="K8" s="51"/>
    </row>
    <row r="9" spans="2:16" s="2" customFormat="1" ht="16" x14ac:dyDescent="0.2">
      <c r="B9" s="118" t="s">
        <v>3</v>
      </c>
      <c r="C9" s="240">
        <f>'P&amp;L'!C9/'P&amp;L'!$C$4</f>
        <v>6.8926715642358E-2</v>
      </c>
      <c r="D9" s="240">
        <f>'P&amp;L'!D9/'P&amp;L'!$D$4</f>
        <v>4.701443447394224E-2</v>
      </c>
      <c r="E9" s="240">
        <f>'P&amp;L'!E9/'P&amp;L'!$E$4</f>
        <v>4.6122665221033955E-2</v>
      </c>
      <c r="F9" s="240">
        <f>'P&amp;L'!F9/'P&amp;L'!$F$4</f>
        <v>4.2294035966239325E-2</v>
      </c>
      <c r="H9" s="239">
        <f>D9/C9-1</f>
        <v>-0.31790693875670262</v>
      </c>
      <c r="I9" s="95">
        <f t="shared" si="0"/>
        <v>-1.8967988510051104E-2</v>
      </c>
      <c r="J9" s="95">
        <f t="shared" si="0"/>
        <v>-8.3009714127461276E-2</v>
      </c>
      <c r="K9" s="51"/>
    </row>
    <row r="10" spans="2:16" s="2" customFormat="1" ht="17" thickBot="1" x14ac:dyDescent="0.25">
      <c r="B10" s="118" t="s">
        <v>4</v>
      </c>
      <c r="C10" s="240">
        <f>'P&amp;L'!C10/'P&amp;L'!$C$4</f>
        <v>-6.3834438272710986E-2</v>
      </c>
      <c r="D10" s="240">
        <f>'P&amp;L'!D10/'P&amp;L'!$D$4</f>
        <v>-6.0611138002507108E-2</v>
      </c>
      <c r="E10" s="240">
        <f>'P&amp;L'!E10/'P&amp;L'!$E$4</f>
        <v>-6.2564683849982747E-2</v>
      </c>
      <c r="F10" s="240">
        <f>'P&amp;L'!F10/'P&amp;L'!$F$4</f>
        <v>-6.4129128056338205E-2</v>
      </c>
      <c r="H10" s="239">
        <f>D10/C10-1</f>
        <v>-5.0494691539908598E-2</v>
      </c>
      <c r="I10" s="95">
        <f t="shared" si="0"/>
        <v>3.2230806281756896E-2</v>
      </c>
      <c r="J10" s="95">
        <f t="shared" si="0"/>
        <v>2.500522835065655E-2</v>
      </c>
      <c r="K10" s="51"/>
    </row>
    <row r="11" spans="2:16" s="2" customFormat="1" ht="16" x14ac:dyDescent="0.2">
      <c r="B11" s="18" t="s">
        <v>16</v>
      </c>
      <c r="C11" s="96">
        <f>'P&amp;L'!C11/'P&amp;L'!$C$4</f>
        <v>7.9229528758287052E-2</v>
      </c>
      <c r="D11" s="96">
        <f>'P&amp;L'!D11/'P&amp;L'!$D$4</f>
        <v>7.0050017996549627E-2</v>
      </c>
      <c r="E11" s="96">
        <f>'P&amp;L'!E11/'P&amp;L'!$E$4</f>
        <v>5.8708294317677788E-2</v>
      </c>
      <c r="F11" s="96">
        <f>'P&amp;L'!F11/'P&amp;L'!$F$4</f>
        <v>2.7547815714183646E-2</v>
      </c>
      <c r="H11" s="242">
        <f>D11/C11-1</f>
        <v>-0.11585971676976925</v>
      </c>
      <c r="I11" s="97">
        <f t="shared" si="0"/>
        <v>-0.16190893312019539</v>
      </c>
      <c r="J11" s="97">
        <f t="shared" si="0"/>
        <v>-0.53076790878782765</v>
      </c>
      <c r="K11" s="51"/>
    </row>
    <row r="12" spans="2:16" s="2" customFormat="1" ht="16" x14ac:dyDescent="0.2">
      <c r="B12" s="118" t="s">
        <v>5</v>
      </c>
      <c r="C12" s="240">
        <f>'P&amp;L'!C12/'P&amp;L'!$C$4</f>
        <v>8.6113599713313026E-3</v>
      </c>
      <c r="D12" s="240">
        <f>'P&amp;L'!D12/'P&amp;L'!$D$4</f>
        <v>7.1086371026796245E-3</v>
      </c>
      <c r="E12" s="240">
        <f>'P&amp;L'!E12/'P&amp;L'!$E$4</f>
        <v>1.1550687496919817E-3</v>
      </c>
      <c r="F12" s="240">
        <f>'P&amp;L'!F12/'P&amp;L'!$F$4</f>
        <v>2.888979320499638E-3</v>
      </c>
      <c r="H12" s="239">
        <f>D12/C12-1</f>
        <v>-0.17450470932053719</v>
      </c>
      <c r="I12" s="95">
        <f t="shared" si="0"/>
        <v>-0.83751192626550386</v>
      </c>
      <c r="J12" s="95">
        <f t="shared" si="0"/>
        <v>1.501131920736348</v>
      </c>
      <c r="K12" s="51"/>
    </row>
    <row r="13" spans="2:16" s="2" customFormat="1" ht="16" x14ac:dyDescent="0.2">
      <c r="B13" s="118" t="s">
        <v>6</v>
      </c>
      <c r="C13" s="240">
        <f>'P&amp;L'!C13/'P&amp;L'!$C$4</f>
        <v>4.7482530012542554E-3</v>
      </c>
      <c r="D13" s="240">
        <f>'P&amp;L'!D13/'P&amp;L'!$D$4</f>
        <v>8.2473842945973118E-3</v>
      </c>
      <c r="E13" s="240">
        <f>'P&amp;L'!E13/'P&amp;L'!$E$4</f>
        <v>7.4509634813464095E-3</v>
      </c>
      <c r="F13" s="240">
        <f>'P&amp;L'!F13/'P&amp;L'!$F$4</f>
        <v>5.6661271834315486E-3</v>
      </c>
      <c r="H13" s="239">
        <f>D13/C13-1</f>
        <v>0.73693025464707906</v>
      </c>
      <c r="I13" s="95">
        <f t="shared" si="0"/>
        <v>-9.6566473054083501E-2</v>
      </c>
      <c r="J13" s="95">
        <f t="shared" si="0"/>
        <v>-0.23954436260266521</v>
      </c>
      <c r="K13" s="51"/>
    </row>
    <row r="14" spans="2:16" s="2" customFormat="1" ht="16" x14ac:dyDescent="0.2">
      <c r="B14" s="118" t="s">
        <v>7</v>
      </c>
      <c r="C14" s="240">
        <f>'P&amp;L'!C14/'P&amp;L'!$C$4</f>
        <v>-1.4621035656692349E-3</v>
      </c>
      <c r="D14" s="240">
        <f>'P&amp;L'!D14/'P&amp;L'!$D$4</f>
        <v>-1.1145449355227066E-2</v>
      </c>
      <c r="E14" s="240">
        <f>'P&amp;L'!E14/'P&amp;L'!$E$4</f>
        <v>-1.0614311763836183E-2</v>
      </c>
      <c r="F14" s="240">
        <f>'P&amp;L'!F14/'P&amp;L'!$F$4</f>
        <v>-1.0080363327979919E-2</v>
      </c>
      <c r="H14" s="239">
        <f>D14/C14-1</f>
        <v>6.6228863788630212</v>
      </c>
      <c r="I14" s="95">
        <f t="shared" si="0"/>
        <v>-4.7655107879682523E-2</v>
      </c>
      <c r="J14" s="95">
        <f t="shared" si="0"/>
        <v>-5.0304574402597502E-2</v>
      </c>
      <c r="K14" s="51"/>
    </row>
    <row r="15" spans="2:16" s="2" customFormat="1" ht="16" x14ac:dyDescent="0.2">
      <c r="B15" s="118" t="s">
        <v>8</v>
      </c>
      <c r="C15" s="240">
        <f>'P&amp;L'!C15/'P&amp;L'!$C$4</f>
        <v>-1.2037269306575882E-2</v>
      </c>
      <c r="D15" s="240">
        <f>'P&amp;L'!D15/'P&amp;L'!$D$4</f>
        <v>-2.2930086507552344E-3</v>
      </c>
      <c r="E15" s="240">
        <f>'P&amp;L'!E15/'P&amp;L'!$E$4</f>
        <v>-4.9344536986841454E-3</v>
      </c>
      <c r="F15" s="240">
        <f>'P&amp;L'!F15/'P&amp;L'!$F$4</f>
        <v>2.888979320499638E-3</v>
      </c>
      <c r="H15" s="239">
        <f>D15/C15-1</f>
        <v>-0.8095075724938231</v>
      </c>
      <c r="I15" s="95">
        <f t="shared" si="0"/>
        <v>1.1519559889400828</v>
      </c>
      <c r="J15" s="95">
        <f t="shared" si="0"/>
        <v>-1.585470955228546</v>
      </c>
      <c r="K15" s="51"/>
    </row>
    <row r="16" spans="2:16" s="2" customFormat="1" ht="17" thickBot="1" x14ac:dyDescent="0.25">
      <c r="B16" s="118" t="s">
        <v>9</v>
      </c>
      <c r="C16" s="240">
        <f>'P&amp;L'!C16/'P&amp;L'!$C$4</f>
        <v>-1.4334348683031715E-4</v>
      </c>
      <c r="D16" s="240">
        <f>'P&amp;L'!D16/'P&amp;L'!$D$4</f>
        <v>1.9175633912946344E-3</v>
      </c>
      <c r="E16" s="240">
        <f>'P&amp;L'!E16/'P&amp;L'!$E$4</f>
        <v>-6.9458134148144496E-3</v>
      </c>
      <c r="F16" s="240">
        <f>'P&amp;L'!F16/'P&amp;L'!$F$4</f>
        <v>1.3637224964509044E-3</v>
      </c>
      <c r="H16" s="239">
        <f>D16/C16-1</f>
        <v>-14.377401608519193</v>
      </c>
      <c r="I16" s="95">
        <f t="shared" si="0"/>
        <v>-4.6222079782848873</v>
      </c>
      <c r="J16" s="95">
        <f t="shared" si="0"/>
        <v>-1.1963373351697406</v>
      </c>
      <c r="K16" s="51"/>
    </row>
    <row r="17" spans="2:14" s="2" customFormat="1" ht="16" x14ac:dyDescent="0.2">
      <c r="B17" s="18" t="s">
        <v>17</v>
      </c>
      <c r="C17" s="96">
        <f>'P&amp;L'!C17/'P&amp;L'!$C$4</f>
        <v>7.9089768858627479E-2</v>
      </c>
      <c r="D17" s="96">
        <f>'P&amp;L'!D17/'P&amp;L'!$D$4</f>
        <v>7.1967581387844259E-2</v>
      </c>
      <c r="E17" s="96">
        <f>'P&amp;L'!E17/'P&amp;L'!$E$4</f>
        <v>5.1765561086195851E-2</v>
      </c>
      <c r="F17" s="96">
        <f>'P&amp;L'!F17/'P&amp;L'!$F$4</f>
        <v>2.8911538210634552E-2</v>
      </c>
      <c r="H17" s="242">
        <f>D17/C17-1</f>
        <v>-9.0051944436885245E-2</v>
      </c>
      <c r="I17" s="97">
        <f t="shared" si="0"/>
        <v>-0.28071000736813212</v>
      </c>
      <c r="J17" s="97">
        <f t="shared" si="0"/>
        <v>-0.44149087532358855</v>
      </c>
      <c r="K17" s="51"/>
    </row>
    <row r="18" spans="2:14" s="2" customFormat="1" ht="16" x14ac:dyDescent="0.2">
      <c r="B18" s="118" t="s">
        <v>10</v>
      </c>
      <c r="C18" s="240">
        <f>'P&amp;L'!C18/'P&amp;L'!$C$4</f>
        <v>-2.2279161440602043E-2</v>
      </c>
      <c r="D18" s="240">
        <f>'P&amp;L'!D18/'P&amp;L'!$D$4</f>
        <v>-1.6339625919996027E-2</v>
      </c>
      <c r="E18" s="240">
        <f>'P&amp;L'!E18/'P&amp;L'!$E$4</f>
        <v>-1.3586688679710216E-2</v>
      </c>
      <c r="F18" s="240">
        <f>'P&amp;L'!F18/'P&amp;L'!$F$4</f>
        <v>-7.4647497926458393E-3</v>
      </c>
      <c r="H18" s="239">
        <f>D18/C18-1</f>
        <v>-0.2665960088507493</v>
      </c>
      <c r="I18" s="95">
        <f t="shared" si="0"/>
        <v>-0.16848226842921998</v>
      </c>
      <c r="J18" s="95">
        <f t="shared" si="0"/>
        <v>-0.45058358452023861</v>
      </c>
      <c r="K18" s="51"/>
    </row>
    <row r="19" spans="2:14" s="2" customFormat="1" ht="16" x14ac:dyDescent="0.2">
      <c r="B19" s="118" t="s">
        <v>11</v>
      </c>
      <c r="C19" s="240">
        <f>'P&amp;L'!C19/'P&amp;L'!$C$4</f>
        <v>-1.8860419279698979E-2</v>
      </c>
      <c r="D19" s="240">
        <f>'P&amp;L'!D19/'P&amp;L'!$D$4</f>
        <v>-2.1071477330553177E-2</v>
      </c>
      <c r="E19" s="240">
        <f>'P&amp;L'!E19/'P&amp;L'!$E$4</f>
        <v>-1.8043713961855008E-2</v>
      </c>
      <c r="F19" s="240">
        <f>'P&amp;L'!F19/'P&amp;L'!$F$4</f>
        <v>-1.1919369519093668E-2</v>
      </c>
      <c r="H19" s="239">
        <f>D19/C19-1</f>
        <v>0.11723270930854346</v>
      </c>
      <c r="I19" s="95">
        <f t="shared" si="0"/>
        <v>-0.14369013245729945</v>
      </c>
      <c r="J19" s="95">
        <f t="shared" si="0"/>
        <v>-0.33941706545051653</v>
      </c>
      <c r="K19" s="51"/>
    </row>
    <row r="20" spans="2:14" s="2" customFormat="1" ht="17" thickBot="1" x14ac:dyDescent="0.25">
      <c r="B20" s="118" t="s">
        <v>12</v>
      </c>
      <c r="C20" s="240">
        <f>'P&amp;L'!C20/'P&amp;L'!$C$4</f>
        <v>-3.4187421609030641E-3</v>
      </c>
      <c r="D20" s="240">
        <f>'P&amp;L'!D20/'P&amp;L'!$D$4</f>
        <v>4.7349542639411202E-3</v>
      </c>
      <c r="E20" s="240">
        <f>'P&amp;L'!E20/'P&amp;L'!$E$4</f>
        <v>4.4570252821447935E-3</v>
      </c>
      <c r="F20" s="240">
        <f>'P&amp;L'!F20/'P&amp;L'!$F$4</f>
        <v>4.4546197264478289E-3</v>
      </c>
      <c r="H20" s="239">
        <f>D20/C20-1</f>
        <v>-2.384998938524916</v>
      </c>
      <c r="I20" s="95">
        <f t="shared" ref="H5:J21" si="1">E20/D20-1</f>
        <v>-5.8697289625981197E-2</v>
      </c>
      <c r="J20" s="95">
        <f t="shared" si="1"/>
        <v>-5.3972224627074628E-4</v>
      </c>
      <c r="K20" s="51"/>
    </row>
    <row r="21" spans="2:14" s="2" customFormat="1" ht="17" thickBot="1" x14ac:dyDescent="0.25">
      <c r="B21" s="8" t="s">
        <v>18</v>
      </c>
      <c r="C21" s="241">
        <f>'P&amp;L'!C21/'P&amp;L'!$C$4</f>
        <v>5.6807023830854689E-2</v>
      </c>
      <c r="D21" s="241">
        <f>'P&amp;L'!D21/'P&amp;L'!$D$4</f>
        <v>5.5627955467848232E-2</v>
      </c>
      <c r="E21" s="241">
        <f>'P&amp;L'!E21/'P&amp;L'!$E$4</f>
        <v>3.8175792223153121E-2</v>
      </c>
      <c r="F21" s="241">
        <f>'P&amp;L'!F21/'P&amp;L'!$F$4</f>
        <v>2.1446788417988711E-2</v>
      </c>
      <c r="H21" s="243">
        <f>D21/C21-1</f>
        <v>-2.0755679201170274E-2</v>
      </c>
      <c r="I21" s="98">
        <f t="shared" si="1"/>
        <v>-0.31373008585192541</v>
      </c>
      <c r="J21" s="98">
        <f t="shared" si="1"/>
        <v>-0.43820973530494245</v>
      </c>
      <c r="K21" s="51"/>
    </row>
    <row r="22" spans="2:14" s="2" customFormat="1" ht="14" thickTop="1" x14ac:dyDescent="0.15">
      <c r="F22" s="4"/>
      <c r="G22" s="4"/>
      <c r="H22" s="4"/>
    </row>
    <row r="23" spans="2:14" s="2" customFormat="1" ht="16" x14ac:dyDescent="0.2">
      <c r="B23" s="244" t="s">
        <v>364</v>
      </c>
      <c r="C23" s="245"/>
      <c r="D23" s="245"/>
      <c r="E23" s="245"/>
      <c r="F23" s="245"/>
      <c r="G23" s="51"/>
      <c r="H23" s="51"/>
      <c r="I23" s="51"/>
      <c r="J23" s="51"/>
      <c r="K23" s="51"/>
      <c r="L23" s="51"/>
      <c r="M23" s="51"/>
      <c r="N23" s="51"/>
    </row>
    <row r="24" spans="2:14" s="2" customFormat="1" ht="16" x14ac:dyDescent="0.2">
      <c r="B24" s="246" t="s">
        <v>365</v>
      </c>
      <c r="C24" s="247">
        <f>C6</f>
        <v>0.18700591291883176</v>
      </c>
      <c r="D24" s="247">
        <f t="shared" ref="D24:F24" si="2">D6</f>
        <v>0.18934231919673331</v>
      </c>
      <c r="E24" s="247">
        <f t="shared" si="2"/>
        <v>0.18318466315115076</v>
      </c>
      <c r="F24" s="247">
        <f t="shared" si="2"/>
        <v>0.15918276055953007</v>
      </c>
      <c r="G24" s="51"/>
      <c r="H24" s="51"/>
      <c r="I24" s="51"/>
      <c r="J24" s="51"/>
      <c r="K24" s="51"/>
      <c r="L24" s="51"/>
      <c r="M24" s="51"/>
      <c r="N24" s="51"/>
    </row>
    <row r="25" spans="2:14" s="2" customFormat="1" ht="16" x14ac:dyDescent="0.2">
      <c r="B25" s="246" t="s">
        <v>350</v>
      </c>
      <c r="C25" s="248">
        <f>C11</f>
        <v>7.9229528758287052E-2</v>
      </c>
      <c r="D25" s="248">
        <f t="shared" ref="D25:F25" si="3">D11</f>
        <v>7.0050017996549627E-2</v>
      </c>
      <c r="E25" s="248">
        <f t="shared" si="3"/>
        <v>5.8708294317677788E-2</v>
      </c>
      <c r="F25" s="248">
        <f t="shared" si="3"/>
        <v>2.7547815714183646E-2</v>
      </c>
      <c r="G25" s="51"/>
      <c r="H25" s="51"/>
      <c r="I25" s="51"/>
      <c r="J25" s="51"/>
      <c r="K25" s="51"/>
      <c r="L25" s="51"/>
      <c r="M25" s="51"/>
      <c r="N25" s="51"/>
    </row>
    <row r="26" spans="2:14" s="2" customFormat="1" ht="16" x14ac:dyDescent="0.2">
      <c r="B26" s="246" t="s">
        <v>366</v>
      </c>
      <c r="C26" s="248">
        <f>C21</f>
        <v>5.6807023830854689E-2</v>
      </c>
      <c r="D26" s="248">
        <f t="shared" ref="D26:F26" si="4">D21</f>
        <v>5.5627955467848232E-2</v>
      </c>
      <c r="E26" s="248">
        <f t="shared" si="4"/>
        <v>3.8175792223153121E-2</v>
      </c>
      <c r="F26" s="248">
        <f t="shared" si="4"/>
        <v>2.1446788417988711E-2</v>
      </c>
      <c r="G26" s="51"/>
      <c r="H26" s="51"/>
      <c r="I26" s="51"/>
      <c r="J26" s="51"/>
      <c r="K26" s="51"/>
      <c r="L26" s="51"/>
      <c r="M26" s="51"/>
      <c r="N26" s="51"/>
    </row>
    <row r="27" spans="2:14" s="2" customFormat="1" ht="16" x14ac:dyDescent="0.2">
      <c r="B27" s="35"/>
      <c r="C27" s="1"/>
      <c r="D27" s="119"/>
      <c r="E27" s="119"/>
      <c r="F27" s="119"/>
      <c r="G27" s="51"/>
      <c r="H27" s="51"/>
      <c r="I27" s="51"/>
      <c r="J27" s="51"/>
      <c r="K27" s="51"/>
      <c r="L27" s="51"/>
      <c r="M27" s="51"/>
      <c r="N27" s="51"/>
    </row>
    <row r="28" spans="2:14" s="2" customFormat="1" ht="16" x14ac:dyDescent="0.2">
      <c r="B28" s="120"/>
      <c r="C28" s="1"/>
      <c r="D28" s="119"/>
      <c r="E28" s="119"/>
      <c r="F28" s="119"/>
      <c r="G28" s="51"/>
      <c r="H28" s="51"/>
      <c r="I28" s="51"/>
      <c r="J28" s="51"/>
      <c r="K28" s="51"/>
      <c r="L28" s="51"/>
      <c r="M28" s="51"/>
      <c r="N28" s="51"/>
    </row>
    <row r="29" spans="2:14" s="2" customFormat="1" ht="16" x14ac:dyDescent="0.2">
      <c r="B29" s="120"/>
      <c r="C29" s="1"/>
      <c r="D29" s="119"/>
      <c r="E29" s="119"/>
      <c r="F29" s="119"/>
      <c r="G29" s="51"/>
      <c r="H29" s="51"/>
      <c r="I29" s="51"/>
      <c r="J29" s="51"/>
      <c r="K29" s="51"/>
      <c r="L29" s="51"/>
      <c r="M29" s="51"/>
      <c r="N29" s="51"/>
    </row>
    <row r="30" spans="2:14" s="2" customFormat="1" ht="16" x14ac:dyDescent="0.2">
      <c r="B30" s="120"/>
      <c r="C30" s="1"/>
      <c r="D30" s="119"/>
      <c r="E30" s="119"/>
      <c r="F30" s="119"/>
      <c r="G30" s="51"/>
      <c r="H30" s="51"/>
      <c r="I30" s="51"/>
      <c r="J30" s="51"/>
      <c r="K30" s="51"/>
      <c r="L30" s="51"/>
      <c r="M30" s="51"/>
      <c r="N30" s="51"/>
    </row>
    <row r="31" spans="2:14" s="2" customFormat="1" ht="16" x14ac:dyDescent="0.2">
      <c r="B31" s="120"/>
      <c r="C31" s="1"/>
      <c r="D31" s="119"/>
      <c r="E31" s="119"/>
      <c r="F31" s="119"/>
      <c r="G31" s="51"/>
      <c r="H31" s="51"/>
      <c r="I31" s="51"/>
      <c r="J31" s="51"/>
      <c r="K31" s="51"/>
      <c r="L31" s="51"/>
      <c r="M31" s="51"/>
      <c r="N31" s="51"/>
    </row>
    <row r="32" spans="2:14" s="2" customFormat="1" ht="16" x14ac:dyDescent="0.2">
      <c r="B32" s="120"/>
      <c r="C32" s="1"/>
      <c r="D32" s="119"/>
      <c r="E32" s="119"/>
      <c r="F32" s="119"/>
      <c r="G32" s="51"/>
      <c r="H32" s="51"/>
      <c r="I32" s="51"/>
      <c r="J32" s="51"/>
      <c r="K32" s="51"/>
      <c r="L32" s="51"/>
      <c r="M32" s="51"/>
      <c r="N32" s="51"/>
    </row>
    <row r="33" spans="2:6" ht="16" x14ac:dyDescent="0.2">
      <c r="B33" s="52"/>
      <c r="C33" s="1"/>
      <c r="D33" s="52"/>
      <c r="E33" s="52"/>
      <c r="F33" s="52"/>
    </row>
    <row r="34" spans="2:6" ht="16" x14ac:dyDescent="0.2">
      <c r="B34" s="52"/>
      <c r="C34" s="1"/>
      <c r="D34" s="52"/>
      <c r="E34" s="52"/>
      <c r="F34" s="52"/>
    </row>
    <row r="35" spans="2:6" ht="16" x14ac:dyDescent="0.2">
      <c r="B35" s="52"/>
      <c r="C35" s="1"/>
      <c r="D35" s="119"/>
      <c r="E35" s="119"/>
      <c r="F35" s="119"/>
    </row>
    <row r="36" spans="2:6" ht="16" x14ac:dyDescent="0.2">
      <c r="B36" s="52"/>
      <c r="C36" s="1"/>
      <c r="D36" s="121"/>
      <c r="E36" s="121"/>
      <c r="F36" s="121"/>
    </row>
    <row r="37" spans="2:6" ht="16" x14ac:dyDescent="0.2">
      <c r="B37" s="52"/>
      <c r="C37" s="1"/>
      <c r="D37" s="52"/>
      <c r="E37" s="52"/>
      <c r="F37" s="52"/>
    </row>
    <row r="38" spans="2:6" ht="16" x14ac:dyDescent="0.2">
      <c r="B38" s="52"/>
      <c r="C38" s="1"/>
      <c r="D38" s="119"/>
      <c r="E38" s="119"/>
      <c r="F38" s="119"/>
    </row>
    <row r="39" spans="2:6" ht="16" x14ac:dyDescent="0.2">
      <c r="B39" s="52"/>
      <c r="C39" s="1"/>
      <c r="D39" s="119"/>
      <c r="E39" s="119"/>
      <c r="F39" s="119"/>
    </row>
    <row r="40" spans="2:6" ht="16" x14ac:dyDescent="0.2">
      <c r="B40" s="52"/>
      <c r="C40" s="1"/>
      <c r="D40" s="119"/>
      <c r="E40" s="119"/>
      <c r="F40" s="119"/>
    </row>
    <row r="41" spans="2:6" ht="16" x14ac:dyDescent="0.2">
      <c r="C41" s="1"/>
    </row>
    <row r="42" spans="2:6" ht="16" x14ac:dyDescent="0.2">
      <c r="C42" s="1"/>
    </row>
  </sheetData>
  <conditionalFormatting sqref="H4:J21">
    <cfRule type="iconSet" priority="1">
      <iconSet>
        <cfvo type="percent" val="0"/>
        <cfvo type="num" val="-0.1"/>
        <cfvo type="num" val="0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0927-5914-E74A-9D82-0ECED657AD30}">
  <dimension ref="B1:Q69"/>
  <sheetViews>
    <sheetView zoomScale="170" workbookViewId="0"/>
  </sheetViews>
  <sheetFormatPr baseColWidth="10" defaultRowHeight="13" x14ac:dyDescent="0.15"/>
  <cols>
    <col min="1" max="1" width="2.1640625" style="2" customWidth="1"/>
    <col min="2" max="2" width="66.5" style="2" bestFit="1" customWidth="1"/>
    <col min="3" max="6" width="8.1640625" style="2" bestFit="1" customWidth="1"/>
    <col min="7" max="7" width="2.1640625" style="2" customWidth="1"/>
    <col min="8" max="10" width="10" style="2" bestFit="1" customWidth="1"/>
    <col min="11" max="12" width="8.1640625" style="2" bestFit="1" customWidth="1"/>
    <col min="13" max="16384" width="10.83203125" style="2"/>
  </cols>
  <sheetData>
    <row r="1" spans="2:17" x14ac:dyDescent="0.15">
      <c r="B1" s="3" t="s">
        <v>23</v>
      </c>
    </row>
    <row r="3" spans="2:17" ht="15" thickBot="1" x14ac:dyDescent="0.2">
      <c r="B3" s="10" t="s">
        <v>19</v>
      </c>
      <c r="C3" s="10">
        <v>2022</v>
      </c>
      <c r="D3" s="10">
        <v>2023</v>
      </c>
      <c r="E3" s="10">
        <v>2024</v>
      </c>
      <c r="F3" s="10">
        <v>2025</v>
      </c>
      <c r="H3" s="11" t="s">
        <v>20</v>
      </c>
      <c r="I3" s="28" t="s">
        <v>21</v>
      </c>
      <c r="J3" s="28" t="s">
        <v>22</v>
      </c>
    </row>
    <row r="4" spans="2:17" x14ac:dyDescent="0.15">
      <c r="B4" s="16" t="s">
        <v>24</v>
      </c>
      <c r="C4" s="15"/>
      <c r="D4" s="15"/>
      <c r="E4" s="15"/>
      <c r="F4" s="15"/>
    </row>
    <row r="5" spans="2:17" ht="16" x14ac:dyDescent="0.2">
      <c r="B5" s="16" t="s">
        <v>25</v>
      </c>
      <c r="C5" s="15"/>
      <c r="D5" s="15"/>
      <c r="E5" s="15"/>
      <c r="F5" s="15"/>
      <c r="O5" s="1"/>
      <c r="P5" s="1"/>
      <c r="Q5" s="1"/>
    </row>
    <row r="6" spans="2:17" ht="16" x14ac:dyDescent="0.2">
      <c r="B6" s="15" t="s">
        <v>71</v>
      </c>
      <c r="C6" s="13">
        <v>83241</v>
      </c>
      <c r="D6" s="13">
        <v>89109</v>
      </c>
      <c r="E6" s="13">
        <v>93333</v>
      </c>
      <c r="F6" s="26">
        <v>91474</v>
      </c>
      <c r="G6" s="21"/>
      <c r="H6" s="29">
        <f>D6/C6-1</f>
        <v>7.0494107471077871E-2</v>
      </c>
      <c r="I6" s="29">
        <f t="shared" ref="I6:J6" si="0">E6/D6-1</f>
        <v>4.7402619264047319E-2</v>
      </c>
      <c r="J6" s="29">
        <f t="shared" si="0"/>
        <v>-1.9917928278315289E-2</v>
      </c>
      <c r="Q6" s="1"/>
    </row>
    <row r="7" spans="2:17" ht="16" x14ac:dyDescent="0.2">
      <c r="B7" s="15" t="s">
        <v>26</v>
      </c>
      <c r="C7" s="13">
        <v>63890</v>
      </c>
      <c r="D7" s="13">
        <v>66880</v>
      </c>
      <c r="E7" s="13">
        <v>71452</v>
      </c>
      <c r="F7" s="26">
        <v>73076</v>
      </c>
      <c r="G7" s="21"/>
      <c r="H7" s="29">
        <f t="shared" ref="H7:H17" si="1">D7/C7-1</f>
        <v>4.6799186101111223E-2</v>
      </c>
      <c r="I7" s="29">
        <f t="shared" ref="I7:I17" si="2">E7/D7-1</f>
        <v>6.8361244019138789E-2</v>
      </c>
      <c r="J7" s="29">
        <f t="shared" ref="J7:J17" si="3">F7/E7-1</f>
        <v>2.2728545037227876E-2</v>
      </c>
      <c r="Q7" s="1"/>
    </row>
    <row r="8" spans="2:17" ht="16" x14ac:dyDescent="0.2">
      <c r="B8" s="15" t="s">
        <v>27</v>
      </c>
      <c r="C8" s="13">
        <v>59380</v>
      </c>
      <c r="D8" s="13">
        <v>64094</v>
      </c>
      <c r="E8" s="13">
        <v>73193</v>
      </c>
      <c r="F8" s="26">
        <v>82486</v>
      </c>
      <c r="G8" s="21"/>
      <c r="H8" s="29">
        <f t="shared" si="1"/>
        <v>7.938699898955881E-2</v>
      </c>
      <c r="I8" s="29">
        <f t="shared" si="2"/>
        <v>0.14196336630573847</v>
      </c>
      <c r="J8" s="29">
        <f t="shared" si="3"/>
        <v>0.12696569344062958</v>
      </c>
      <c r="Q8" s="1"/>
    </row>
    <row r="9" spans="2:17" ht="16" x14ac:dyDescent="0.2">
      <c r="B9" s="15" t="s">
        <v>28</v>
      </c>
      <c r="C9" s="13">
        <v>610</v>
      </c>
      <c r="D9" s="13">
        <v>632</v>
      </c>
      <c r="E9" s="13">
        <v>622</v>
      </c>
      <c r="F9" s="26">
        <v>609</v>
      </c>
      <c r="G9" s="21"/>
      <c r="H9" s="29">
        <f t="shared" si="1"/>
        <v>3.6065573770491799E-2</v>
      </c>
      <c r="I9" s="29">
        <f t="shared" si="2"/>
        <v>-1.5822784810126556E-2</v>
      </c>
      <c r="J9" s="29">
        <f t="shared" si="3"/>
        <v>-2.0900321543408373E-2</v>
      </c>
      <c r="Q9" s="1"/>
    </row>
    <row r="10" spans="2:17" ht="16" x14ac:dyDescent="0.2">
      <c r="B10" s="15" t="s">
        <v>29</v>
      </c>
      <c r="C10" s="13">
        <v>12668</v>
      </c>
      <c r="D10" s="13">
        <v>12239</v>
      </c>
      <c r="E10" s="13">
        <v>10269</v>
      </c>
      <c r="F10" s="26">
        <v>9996</v>
      </c>
      <c r="G10" s="21"/>
      <c r="H10" s="29">
        <f t="shared" si="1"/>
        <v>-3.3864856330912518E-2</v>
      </c>
      <c r="I10" s="29">
        <f t="shared" si="2"/>
        <v>-0.16096086281558952</v>
      </c>
      <c r="J10" s="29">
        <f t="shared" si="3"/>
        <v>-2.6584867075664653E-2</v>
      </c>
      <c r="Q10" s="1"/>
    </row>
    <row r="11" spans="2:17" ht="16" x14ac:dyDescent="0.2">
      <c r="B11" s="15" t="s">
        <v>30</v>
      </c>
      <c r="C11" s="13">
        <v>3489</v>
      </c>
      <c r="D11" s="13">
        <v>4431</v>
      </c>
      <c r="E11" s="13">
        <v>5731</v>
      </c>
      <c r="F11" s="26">
        <v>7366</v>
      </c>
      <c r="G11" s="21"/>
      <c r="H11" s="29">
        <f t="shared" si="1"/>
        <v>0.26999140154772139</v>
      </c>
      <c r="I11" s="29">
        <f t="shared" si="2"/>
        <v>0.29338749717896628</v>
      </c>
      <c r="J11" s="29">
        <f t="shared" si="3"/>
        <v>0.28529052521374987</v>
      </c>
      <c r="Q11" s="1"/>
    </row>
    <row r="12" spans="2:17" ht="16" x14ac:dyDescent="0.2">
      <c r="B12" s="15" t="s">
        <v>31</v>
      </c>
      <c r="C12" s="13">
        <v>86944</v>
      </c>
      <c r="D12" s="13">
        <v>94474</v>
      </c>
      <c r="E12" s="13">
        <v>101087</v>
      </c>
      <c r="F12" s="26">
        <v>101230</v>
      </c>
      <c r="G12" s="21"/>
      <c r="H12" s="29">
        <f t="shared" si="1"/>
        <v>8.6607471475892428E-2</v>
      </c>
      <c r="I12" s="29">
        <f t="shared" si="2"/>
        <v>6.9998094713889625E-2</v>
      </c>
      <c r="J12" s="29">
        <f t="shared" si="3"/>
        <v>1.4146230474738619E-3</v>
      </c>
      <c r="Q12" s="1"/>
    </row>
    <row r="13" spans="2:17" x14ac:dyDescent="0.15">
      <c r="B13" s="15" t="s">
        <v>32</v>
      </c>
      <c r="C13" s="13">
        <v>13832</v>
      </c>
      <c r="D13" s="13">
        <v>11757</v>
      </c>
      <c r="E13" s="13">
        <v>12129</v>
      </c>
      <c r="F13" s="26">
        <v>11692</v>
      </c>
      <c r="G13" s="21"/>
      <c r="H13" s="29">
        <f t="shared" si="1"/>
        <v>-0.15001445922498557</v>
      </c>
      <c r="I13" s="29">
        <f t="shared" si="2"/>
        <v>3.1640724674661946E-2</v>
      </c>
      <c r="J13" s="29">
        <f t="shared" si="3"/>
        <v>-3.6029351141891319E-2</v>
      </c>
      <c r="Q13" s="12"/>
    </row>
    <row r="14" spans="2:17" ht="16" x14ac:dyDescent="0.2">
      <c r="B14" s="15" t="s">
        <v>33</v>
      </c>
      <c r="C14" s="13">
        <v>2477</v>
      </c>
      <c r="D14" s="13">
        <v>2702</v>
      </c>
      <c r="E14" s="13">
        <v>2868</v>
      </c>
      <c r="F14" s="26">
        <v>3651</v>
      </c>
      <c r="G14" s="21"/>
      <c r="H14" s="29">
        <f t="shared" si="1"/>
        <v>9.0835688332660425E-2</v>
      </c>
      <c r="I14" s="29">
        <f t="shared" si="2"/>
        <v>6.1435973353071827E-2</v>
      </c>
      <c r="J14" s="29">
        <f t="shared" si="3"/>
        <v>0.27301255230125521</v>
      </c>
      <c r="Q14" s="1"/>
    </row>
    <row r="15" spans="2:17" ht="16" x14ac:dyDescent="0.2">
      <c r="B15" s="15" t="s">
        <v>34</v>
      </c>
      <c r="C15" s="13">
        <v>394</v>
      </c>
      <c r="D15" s="13">
        <v>437</v>
      </c>
      <c r="E15" s="13">
        <v>409</v>
      </c>
      <c r="F15" s="26">
        <v>411</v>
      </c>
      <c r="G15" s="21"/>
      <c r="H15" s="29">
        <f t="shared" si="1"/>
        <v>0.1091370558375635</v>
      </c>
      <c r="I15" s="29">
        <f t="shared" si="2"/>
        <v>-6.4073226544622441E-2</v>
      </c>
      <c r="J15" s="29">
        <f t="shared" si="3"/>
        <v>4.8899755501221609E-3</v>
      </c>
      <c r="Q15" s="1"/>
    </row>
    <row r="16" spans="2:17" ht="17" thickBot="1" x14ac:dyDescent="0.25">
      <c r="B16" s="15" t="s">
        <v>35</v>
      </c>
      <c r="C16" s="13">
        <v>12929</v>
      </c>
      <c r="D16" s="13">
        <v>13940</v>
      </c>
      <c r="E16" s="13">
        <v>16581</v>
      </c>
      <c r="F16" s="26">
        <v>14611</v>
      </c>
      <c r="G16" s="21"/>
      <c r="H16" s="29">
        <f t="shared" si="1"/>
        <v>7.8196302884987245E-2</v>
      </c>
      <c r="I16" s="29">
        <f t="shared" si="2"/>
        <v>0.18945480631276901</v>
      </c>
      <c r="J16" s="29">
        <f t="shared" si="3"/>
        <v>-0.11881068693082442</v>
      </c>
      <c r="Q16" s="1"/>
    </row>
    <row r="17" spans="2:17" ht="16" x14ac:dyDescent="0.2">
      <c r="B17" s="18" t="s">
        <v>70</v>
      </c>
      <c r="C17" s="22">
        <v>339853</v>
      </c>
      <c r="D17" s="22">
        <v>360694</v>
      </c>
      <c r="E17" s="22">
        <v>387674</v>
      </c>
      <c r="F17" s="22">
        <v>396602</v>
      </c>
      <c r="G17" s="31"/>
      <c r="H17" s="27">
        <f t="shared" si="1"/>
        <v>6.132357225035534E-2</v>
      </c>
      <c r="I17" s="27">
        <f t="shared" si="2"/>
        <v>7.4800246192063158E-2</v>
      </c>
      <c r="J17" s="27">
        <f t="shared" si="3"/>
        <v>2.3029658940243669E-2</v>
      </c>
      <c r="Q17" s="1"/>
    </row>
    <row r="18" spans="2:17" ht="16" x14ac:dyDescent="0.2">
      <c r="B18"/>
      <c r="C18" s="21"/>
      <c r="D18" s="23"/>
      <c r="E18" s="21"/>
      <c r="F18" s="21"/>
      <c r="G18" s="21"/>
      <c r="H18" s="7"/>
      <c r="I18" s="7"/>
      <c r="J18" s="7"/>
      <c r="Q18" s="1"/>
    </row>
    <row r="19" spans="2:17" ht="16" x14ac:dyDescent="0.2">
      <c r="B19" s="17" t="s">
        <v>36</v>
      </c>
      <c r="C19" s="21"/>
      <c r="D19" s="20"/>
      <c r="E19" s="20"/>
      <c r="F19" s="20"/>
      <c r="G19" s="21"/>
      <c r="H19" s="7"/>
      <c r="I19" s="7"/>
      <c r="J19" s="7"/>
      <c r="Q19" s="1"/>
    </row>
    <row r="20" spans="2:17" ht="16" x14ac:dyDescent="0.2">
      <c r="B20" s="15" t="s">
        <v>37</v>
      </c>
      <c r="C20" s="19">
        <v>52274</v>
      </c>
      <c r="D20" s="20">
        <v>53601</v>
      </c>
      <c r="E20" s="19">
        <v>56720</v>
      </c>
      <c r="F20" s="26">
        <v>56042</v>
      </c>
      <c r="G20" s="21"/>
      <c r="H20" s="29">
        <f t="shared" ref="H20" si="4">D20/C20-1</f>
        <v>2.5385468875540385E-2</v>
      </c>
      <c r="I20" s="29">
        <f t="shared" ref="I20" si="5">E20/D20-1</f>
        <v>5.8189212887819197E-2</v>
      </c>
      <c r="J20" s="29">
        <f t="shared" ref="J20" si="6">F20/E20-1</f>
        <v>-1.1953455571227067E-2</v>
      </c>
      <c r="Q20" s="1"/>
    </row>
    <row r="21" spans="2:17" ht="16" x14ac:dyDescent="0.2">
      <c r="B21" s="15" t="s">
        <v>38</v>
      </c>
      <c r="C21" s="19">
        <v>18534</v>
      </c>
      <c r="D21" s="20">
        <v>21849</v>
      </c>
      <c r="E21" s="19">
        <v>21130</v>
      </c>
      <c r="F21" s="26">
        <v>20760</v>
      </c>
      <c r="G21" s="21"/>
      <c r="H21" s="29">
        <f t="shared" ref="H21:H31" si="7">D21/C21-1</f>
        <v>0.17886047264486882</v>
      </c>
      <c r="I21" s="29">
        <f t="shared" ref="I21:I29" si="8">E21/D21-1</f>
        <v>-3.2907684562222483E-2</v>
      </c>
      <c r="J21" s="29">
        <f t="shared" ref="J21:J29" si="9">F21/E21-1</f>
        <v>-1.7510648367250359E-2</v>
      </c>
      <c r="Q21" s="1"/>
    </row>
    <row r="22" spans="2:17" ht="16" x14ac:dyDescent="0.2">
      <c r="B22" s="15" t="s">
        <v>31</v>
      </c>
      <c r="C22" s="19">
        <v>61549</v>
      </c>
      <c r="D22" s="20">
        <v>66381</v>
      </c>
      <c r="E22" s="19">
        <v>68855</v>
      </c>
      <c r="F22" s="26">
        <v>70026</v>
      </c>
      <c r="G22" s="21"/>
      <c r="H22" s="29">
        <f t="shared" si="7"/>
        <v>7.8506555752327456E-2</v>
      </c>
      <c r="I22" s="29">
        <f t="shared" si="8"/>
        <v>3.7269700667359684E-2</v>
      </c>
      <c r="J22" s="29">
        <f t="shared" si="9"/>
        <v>1.700675332219892E-2</v>
      </c>
      <c r="Q22" s="1"/>
    </row>
    <row r="23" spans="2:17" x14ac:dyDescent="0.15">
      <c r="B23" s="15" t="s">
        <v>32</v>
      </c>
      <c r="C23" s="19">
        <v>15148</v>
      </c>
      <c r="D23" s="20">
        <v>16953</v>
      </c>
      <c r="E23" s="19">
        <v>18649</v>
      </c>
      <c r="F23" s="26">
        <v>20158</v>
      </c>
      <c r="G23" s="21"/>
      <c r="H23" s="29">
        <f t="shared" si="7"/>
        <v>0.11915764457354117</v>
      </c>
      <c r="I23" s="29">
        <f t="shared" si="8"/>
        <v>0.1000412906270276</v>
      </c>
      <c r="J23" s="29">
        <f t="shared" si="9"/>
        <v>8.0915866802509617E-2</v>
      </c>
      <c r="Q23" s="25"/>
    </row>
    <row r="24" spans="2:17" ht="16" x14ac:dyDescent="0.2">
      <c r="B24" s="15" t="s">
        <v>33</v>
      </c>
      <c r="C24" s="19">
        <v>7813</v>
      </c>
      <c r="D24" s="19">
        <v>8799</v>
      </c>
      <c r="E24" s="19">
        <v>10217</v>
      </c>
      <c r="F24" s="26">
        <v>9881</v>
      </c>
      <c r="G24" s="21"/>
      <c r="H24" s="29">
        <f t="shared" si="7"/>
        <v>0.12619992320491491</v>
      </c>
      <c r="I24" s="29">
        <f t="shared" si="8"/>
        <v>0.16115467666780314</v>
      </c>
      <c r="J24" s="29">
        <f t="shared" si="9"/>
        <v>-3.2886365860820166E-2</v>
      </c>
      <c r="Q24" s="1"/>
    </row>
    <row r="25" spans="2:17" ht="16" x14ac:dyDescent="0.2">
      <c r="B25" s="15" t="s">
        <v>34</v>
      </c>
      <c r="C25" s="19">
        <v>1732</v>
      </c>
      <c r="D25" s="20">
        <v>1649</v>
      </c>
      <c r="E25" s="19">
        <v>2038</v>
      </c>
      <c r="F25" s="26">
        <v>2674</v>
      </c>
      <c r="G25" s="21"/>
      <c r="H25" s="29">
        <f t="shared" si="7"/>
        <v>-4.7921478060046208E-2</v>
      </c>
      <c r="I25" s="29">
        <f t="shared" si="8"/>
        <v>0.23590054578532449</v>
      </c>
      <c r="J25" s="29">
        <f t="shared" si="9"/>
        <v>0.31207065750736018</v>
      </c>
      <c r="Q25" s="1"/>
    </row>
    <row r="26" spans="2:17" ht="16" x14ac:dyDescent="0.2">
      <c r="B26" s="15" t="s">
        <v>39</v>
      </c>
      <c r="C26" s="19">
        <v>37206</v>
      </c>
      <c r="D26" s="20">
        <v>26772</v>
      </c>
      <c r="E26" s="19">
        <v>27326</v>
      </c>
      <c r="F26" s="26">
        <v>29522</v>
      </c>
      <c r="G26" s="21"/>
      <c r="H26" s="29">
        <f t="shared" si="7"/>
        <v>-0.28043863892920495</v>
      </c>
      <c r="I26" s="29">
        <f t="shared" si="8"/>
        <v>2.0693261616614445E-2</v>
      </c>
      <c r="J26" s="29">
        <f t="shared" si="9"/>
        <v>8.0363024226011825E-2</v>
      </c>
      <c r="Q26" s="1"/>
    </row>
    <row r="27" spans="2:17" ht="16" x14ac:dyDescent="0.2">
      <c r="B27" s="15" t="s">
        <v>40</v>
      </c>
      <c r="C27" s="19">
        <v>29172</v>
      </c>
      <c r="D27" s="20">
        <v>43449</v>
      </c>
      <c r="E27" s="19">
        <v>40296</v>
      </c>
      <c r="F27" s="26">
        <v>38801</v>
      </c>
      <c r="G27" s="21"/>
      <c r="H27" s="29">
        <f t="shared" si="7"/>
        <v>0.48940765117235707</v>
      </c>
      <c r="I27" s="29">
        <f t="shared" si="8"/>
        <v>-7.256783815507839E-2</v>
      </c>
      <c r="J27" s="29">
        <f t="shared" si="9"/>
        <v>-3.7100456621004585E-2</v>
      </c>
      <c r="Q27" s="1"/>
    </row>
    <row r="28" spans="2:17" ht="17" thickBot="1" x14ac:dyDescent="0.25">
      <c r="B28" s="15" t="s">
        <v>41</v>
      </c>
      <c r="C28" s="20">
        <v>733</v>
      </c>
      <c r="D28" s="20">
        <v>190</v>
      </c>
      <c r="E28" s="45" t="s">
        <v>116</v>
      </c>
      <c r="F28" s="39" t="s">
        <v>116</v>
      </c>
      <c r="G28" s="21"/>
      <c r="H28" s="29">
        <f t="shared" si="7"/>
        <v>-0.74079126875852652</v>
      </c>
      <c r="I28" s="43" t="s">
        <v>116</v>
      </c>
      <c r="J28" s="43" t="s">
        <v>116</v>
      </c>
      <c r="Q28" s="1"/>
    </row>
    <row r="29" spans="2:17" ht="16" x14ac:dyDescent="0.2">
      <c r="B29" s="18" t="s">
        <v>69</v>
      </c>
      <c r="C29" s="22">
        <v>224159</v>
      </c>
      <c r="D29" s="22">
        <v>239644</v>
      </c>
      <c r="E29" s="22">
        <v>245231</v>
      </c>
      <c r="F29" s="22">
        <v>247865</v>
      </c>
      <c r="G29" s="31"/>
      <c r="H29" s="27">
        <f t="shared" si="7"/>
        <v>6.908042951654858E-2</v>
      </c>
      <c r="I29" s="27">
        <f t="shared" si="8"/>
        <v>2.331374872727876E-2</v>
      </c>
      <c r="J29" s="27">
        <f t="shared" si="9"/>
        <v>1.0740893280213326E-2</v>
      </c>
      <c r="Q29" s="1"/>
    </row>
    <row r="30" spans="2:17" ht="17" thickBot="1" x14ac:dyDescent="0.25">
      <c r="B30"/>
      <c r="C30" s="21"/>
      <c r="D30" s="23"/>
      <c r="E30" s="21"/>
      <c r="F30" s="21"/>
      <c r="G30" s="21"/>
      <c r="H30" s="7"/>
      <c r="I30" s="7"/>
      <c r="J30" s="7"/>
      <c r="Q30" s="1"/>
    </row>
    <row r="31" spans="2:17" ht="17" thickBot="1" x14ac:dyDescent="0.25">
      <c r="B31" s="8" t="s">
        <v>42</v>
      </c>
      <c r="C31" s="9">
        <v>564013</v>
      </c>
      <c r="D31" s="9">
        <v>600338</v>
      </c>
      <c r="E31" s="9">
        <v>632905</v>
      </c>
      <c r="F31" s="9">
        <v>644467</v>
      </c>
      <c r="G31" s="21"/>
      <c r="H31" s="30">
        <f t="shared" si="7"/>
        <v>6.4404543866896757E-2</v>
      </c>
      <c r="I31" s="30">
        <f t="shared" ref="I31" si="10">E31/D31-1</f>
        <v>5.4247773754118489E-2</v>
      </c>
      <c r="J31" s="30">
        <f t="shared" ref="J31" si="11">F31/E31-1</f>
        <v>1.8268144508259532E-2</v>
      </c>
      <c r="Q31" s="1"/>
    </row>
    <row r="32" spans="2:17" ht="17" thickTop="1" x14ac:dyDescent="0.2">
      <c r="C32" s="7"/>
      <c r="D32" s="7"/>
      <c r="E32" s="14"/>
      <c r="H32" s="7"/>
      <c r="I32" s="7"/>
      <c r="J32" s="7"/>
      <c r="Q32" s="1"/>
    </row>
    <row r="33" spans="2:17" ht="17" thickBot="1" x14ac:dyDescent="0.25">
      <c r="B33" s="10" t="s">
        <v>19</v>
      </c>
      <c r="C33" s="10">
        <v>2022</v>
      </c>
      <c r="D33" s="10">
        <v>2023</v>
      </c>
      <c r="E33" s="10">
        <v>2024</v>
      </c>
      <c r="F33" s="10">
        <v>2025</v>
      </c>
      <c r="H33" s="7"/>
      <c r="I33" s="7"/>
      <c r="J33" s="7"/>
      <c r="Q33" s="1"/>
    </row>
    <row r="34" spans="2:17" ht="16" x14ac:dyDescent="0.2">
      <c r="B34" s="17" t="s">
        <v>43</v>
      </c>
      <c r="H34" s="7"/>
      <c r="I34" s="7"/>
      <c r="J34" s="7"/>
      <c r="Q34" s="1"/>
    </row>
    <row r="35" spans="2:17" ht="16" x14ac:dyDescent="0.2">
      <c r="B35" s="17" t="s">
        <v>44</v>
      </c>
      <c r="C35" s="21"/>
      <c r="D35" s="21"/>
      <c r="E35" s="21"/>
      <c r="F35" s="21"/>
      <c r="H35" s="7"/>
      <c r="I35" s="7"/>
      <c r="J35" s="7"/>
      <c r="Q35" s="1"/>
    </row>
    <row r="36" spans="2:17" x14ac:dyDescent="0.15">
      <c r="B36" s="15" t="s">
        <v>45</v>
      </c>
      <c r="C36" s="13">
        <v>1283</v>
      </c>
      <c r="D36" s="26">
        <v>1283</v>
      </c>
      <c r="E36" s="13">
        <v>1283</v>
      </c>
      <c r="F36" s="26">
        <v>1283</v>
      </c>
      <c r="H36" s="29">
        <f t="shared" ref="H36" si="12">D36/C36-1</f>
        <v>0</v>
      </c>
      <c r="I36" s="29">
        <f t="shared" ref="I36" si="13">E36/D36-1</f>
        <v>0</v>
      </c>
      <c r="J36" s="29">
        <f t="shared" ref="J36" si="14">F36/E36-1</f>
        <v>0</v>
      </c>
    </row>
    <row r="37" spans="2:17" x14ac:dyDescent="0.15">
      <c r="B37" s="15" t="s">
        <v>46</v>
      </c>
      <c r="C37" s="13">
        <v>14551</v>
      </c>
      <c r="D37" s="26">
        <v>14551</v>
      </c>
      <c r="E37" s="13">
        <v>14551</v>
      </c>
      <c r="F37" s="26">
        <v>14551</v>
      </c>
      <c r="H37" s="29">
        <f t="shared" ref="H37:H43" si="15">D37/C37-1</f>
        <v>0</v>
      </c>
      <c r="I37" s="29">
        <f t="shared" ref="I37:I43" si="16">E37/D37-1</f>
        <v>0</v>
      </c>
      <c r="J37" s="29">
        <f t="shared" ref="J37:J43" si="17">F37/E37-1</f>
        <v>0</v>
      </c>
    </row>
    <row r="38" spans="2:17" x14ac:dyDescent="0.15">
      <c r="B38" s="15" t="s">
        <v>47</v>
      </c>
      <c r="C38" s="13">
        <v>137272</v>
      </c>
      <c r="D38" s="26">
        <v>147830</v>
      </c>
      <c r="E38" s="13">
        <v>155130</v>
      </c>
      <c r="F38" s="26">
        <v>161357</v>
      </c>
      <c r="H38" s="29">
        <f t="shared" si="15"/>
        <v>7.6912990267498094E-2</v>
      </c>
      <c r="I38" s="29">
        <f t="shared" si="16"/>
        <v>4.9381045795846568E-2</v>
      </c>
      <c r="J38" s="29">
        <f t="shared" si="17"/>
        <v>4.0140527299684203E-2</v>
      </c>
    </row>
    <row r="39" spans="2:17" x14ac:dyDescent="0.15">
      <c r="B39" s="15" t="s">
        <v>48</v>
      </c>
      <c r="C39" s="13">
        <v>-1851</v>
      </c>
      <c r="D39" s="26">
        <v>-3125</v>
      </c>
      <c r="E39" s="13">
        <v>-2560</v>
      </c>
      <c r="F39" s="26">
        <v>-3190</v>
      </c>
      <c r="H39" s="29">
        <f t="shared" si="15"/>
        <v>0.68827660723933004</v>
      </c>
      <c r="I39" s="29">
        <f t="shared" si="16"/>
        <v>-0.18079999999999996</v>
      </c>
      <c r="J39" s="29">
        <f t="shared" si="17"/>
        <v>0.24609375</v>
      </c>
    </row>
    <row r="40" spans="2:17" ht="14" thickBot="1" x14ac:dyDescent="0.2">
      <c r="B40" s="15" t="s">
        <v>49</v>
      </c>
      <c r="C40" s="13">
        <v>14121</v>
      </c>
      <c r="D40" s="26">
        <v>15155</v>
      </c>
      <c r="E40" s="13">
        <v>13890</v>
      </c>
      <c r="F40" s="26">
        <v>14275</v>
      </c>
      <c r="H40" s="29">
        <f t="shared" si="15"/>
        <v>7.3224275901140112E-2</v>
      </c>
      <c r="I40" s="29">
        <f t="shared" si="16"/>
        <v>-8.3470801715605392E-2</v>
      </c>
      <c r="J40" s="29">
        <f t="shared" si="17"/>
        <v>2.7717782577393768E-2</v>
      </c>
    </row>
    <row r="41" spans="2:17" x14ac:dyDescent="0.15">
      <c r="B41" s="18" t="s">
        <v>50</v>
      </c>
      <c r="C41" s="18">
        <v>165376</v>
      </c>
      <c r="D41" s="18">
        <v>175694</v>
      </c>
      <c r="E41" s="18">
        <v>182294</v>
      </c>
      <c r="F41" s="18">
        <v>188277</v>
      </c>
      <c r="H41" s="27">
        <f t="shared" si="15"/>
        <v>6.2391157120742946E-2</v>
      </c>
      <c r="I41" s="27">
        <f t="shared" si="16"/>
        <v>3.7565312418181618E-2</v>
      </c>
      <c r="J41" s="27">
        <f t="shared" si="17"/>
        <v>3.2820608467640122E-2</v>
      </c>
    </row>
    <row r="42" spans="2:17" ht="14" thickBot="1" x14ac:dyDescent="0.2">
      <c r="B42" s="15" t="s">
        <v>51</v>
      </c>
      <c r="C42" s="13">
        <v>12952</v>
      </c>
      <c r="D42" s="26">
        <v>14218</v>
      </c>
      <c r="E42" s="13">
        <v>14437</v>
      </c>
      <c r="F42" s="26">
        <v>14777</v>
      </c>
      <c r="H42" s="29">
        <f t="shared" si="15"/>
        <v>9.7745521927115497E-2</v>
      </c>
      <c r="I42" s="29">
        <f t="shared" si="16"/>
        <v>1.5403010268673523E-2</v>
      </c>
      <c r="J42" s="29">
        <f t="shared" si="17"/>
        <v>2.355059915494917E-2</v>
      </c>
    </row>
    <row r="43" spans="2:17" x14ac:dyDescent="0.15">
      <c r="B43" s="18" t="s">
        <v>68</v>
      </c>
      <c r="C43" s="22">
        <v>178328</v>
      </c>
      <c r="D43" s="22">
        <v>189912</v>
      </c>
      <c r="E43" s="22">
        <v>196731</v>
      </c>
      <c r="F43" s="22">
        <v>203054</v>
      </c>
      <c r="H43" s="27">
        <f t="shared" si="15"/>
        <v>6.49589520434255E-2</v>
      </c>
      <c r="I43" s="27">
        <f t="shared" si="16"/>
        <v>3.5906103879691731E-2</v>
      </c>
      <c r="J43" s="27">
        <f t="shared" si="17"/>
        <v>3.2140333755229289E-2</v>
      </c>
    </row>
    <row r="44" spans="2:17" ht="16" x14ac:dyDescent="0.2">
      <c r="B44"/>
      <c r="C44" s="21"/>
      <c r="D44" s="21"/>
      <c r="E44" s="21"/>
      <c r="F44" s="21"/>
      <c r="H44" s="7"/>
      <c r="I44" s="7"/>
      <c r="J44" s="7"/>
    </row>
    <row r="45" spans="2:17" x14ac:dyDescent="0.15">
      <c r="B45" s="17" t="s">
        <v>52</v>
      </c>
      <c r="C45" s="21"/>
      <c r="D45" s="21"/>
      <c r="E45" s="21"/>
      <c r="F45" s="21"/>
      <c r="H45" s="7"/>
      <c r="I45" s="7"/>
      <c r="J45" s="7"/>
    </row>
    <row r="46" spans="2:17" x14ac:dyDescent="0.15">
      <c r="B46" s="15" t="s">
        <v>53</v>
      </c>
      <c r="C46" s="19">
        <v>121737</v>
      </c>
      <c r="D46" s="26">
        <v>122323</v>
      </c>
      <c r="E46" s="13">
        <v>137061</v>
      </c>
      <c r="F46" s="26">
        <v>137214</v>
      </c>
      <c r="H46" s="29">
        <f t="shared" ref="H46" si="18">D46/C46-1</f>
        <v>4.8136556675455466E-3</v>
      </c>
      <c r="I46" s="29">
        <f t="shared" ref="I46" si="19">E46/D46-1</f>
        <v>0.12048429158866281</v>
      </c>
      <c r="J46" s="29">
        <f t="shared" ref="J46" si="20">F46/E46-1</f>
        <v>1.1162912863615926E-3</v>
      </c>
    </row>
    <row r="47" spans="2:17" x14ac:dyDescent="0.15">
      <c r="B47" s="15" t="s">
        <v>54</v>
      </c>
      <c r="C47" s="19">
        <v>8188</v>
      </c>
      <c r="D47" s="26">
        <v>6968</v>
      </c>
      <c r="E47" s="13">
        <v>6548</v>
      </c>
      <c r="F47" s="26">
        <v>6422</v>
      </c>
      <c r="H47" s="29">
        <f t="shared" ref="H47:H53" si="21">D47/C47-1</f>
        <v>-0.14899853444064481</v>
      </c>
      <c r="I47" s="29">
        <f t="shared" ref="I47:I53" si="22">E47/D47-1</f>
        <v>-6.027554535017221E-2</v>
      </c>
      <c r="J47" s="29">
        <f t="shared" ref="J47:J53" si="23">F47/E47-1</f>
        <v>-1.9242516799022558E-2</v>
      </c>
    </row>
    <row r="48" spans="2:17" x14ac:dyDescent="0.15">
      <c r="B48" s="15" t="s">
        <v>55</v>
      </c>
      <c r="C48" s="19">
        <v>9144</v>
      </c>
      <c r="D48" s="26">
        <v>9885</v>
      </c>
      <c r="E48" s="13">
        <v>10584</v>
      </c>
      <c r="F48" s="26">
        <v>11420</v>
      </c>
      <c r="H48" s="29">
        <f t="shared" si="21"/>
        <v>8.1036745406824151E-2</v>
      </c>
      <c r="I48" s="29">
        <f t="shared" si="22"/>
        <v>7.0713201820940874E-2</v>
      </c>
      <c r="J48" s="29">
        <f t="shared" si="23"/>
        <v>7.8987150415721796E-2</v>
      </c>
    </row>
    <row r="49" spans="2:10" x14ac:dyDescent="0.15">
      <c r="B49" s="15" t="s">
        <v>56</v>
      </c>
      <c r="C49" s="19">
        <v>10736</v>
      </c>
      <c r="D49" s="26">
        <v>9781</v>
      </c>
      <c r="E49" s="13">
        <v>10900</v>
      </c>
      <c r="F49" s="26">
        <v>9963</v>
      </c>
      <c r="H49" s="29">
        <f t="shared" si="21"/>
        <v>-8.8953055141579696E-2</v>
      </c>
      <c r="I49" s="29">
        <f t="shared" si="22"/>
        <v>0.11440548001226869</v>
      </c>
      <c r="J49" s="29">
        <f t="shared" si="23"/>
        <v>-8.596330275229358E-2</v>
      </c>
    </row>
    <row r="50" spans="2:10" x14ac:dyDescent="0.15">
      <c r="B50" s="15" t="s">
        <v>57</v>
      </c>
      <c r="C50" s="19">
        <v>27553</v>
      </c>
      <c r="D50" s="26">
        <v>29672</v>
      </c>
      <c r="E50" s="13">
        <v>27602</v>
      </c>
      <c r="F50" s="26">
        <v>22826</v>
      </c>
      <c r="H50" s="29">
        <f t="shared" si="21"/>
        <v>7.6906325989910318E-2</v>
      </c>
      <c r="I50" s="29">
        <f t="shared" si="22"/>
        <v>-6.9762739282825614E-2</v>
      </c>
      <c r="J50" s="29">
        <f t="shared" si="23"/>
        <v>-0.17303093978697193</v>
      </c>
    </row>
    <row r="51" spans="2:10" x14ac:dyDescent="0.15">
      <c r="B51" s="15" t="s">
        <v>58</v>
      </c>
      <c r="C51" s="19">
        <v>4320</v>
      </c>
      <c r="D51" s="26">
        <v>4287</v>
      </c>
      <c r="E51" s="13">
        <v>4084</v>
      </c>
      <c r="F51" s="26">
        <v>3367</v>
      </c>
      <c r="H51" s="29">
        <f t="shared" si="21"/>
        <v>-7.6388888888888618E-3</v>
      </c>
      <c r="I51" s="29">
        <f t="shared" si="22"/>
        <v>-4.7352460928388185E-2</v>
      </c>
      <c r="J51" s="29">
        <f t="shared" si="23"/>
        <v>-0.17556317335945149</v>
      </c>
    </row>
    <row r="52" spans="2:10" ht="14" thickBot="1" x14ac:dyDescent="0.2">
      <c r="B52" s="15" t="s">
        <v>59</v>
      </c>
      <c r="C52" s="19">
        <v>21283</v>
      </c>
      <c r="D52" s="26">
        <v>21636</v>
      </c>
      <c r="E52" s="13">
        <v>22355</v>
      </c>
      <c r="F52" s="26">
        <v>23676</v>
      </c>
      <c r="H52" s="29">
        <f t="shared" si="21"/>
        <v>1.6586007611708808E-2</v>
      </c>
      <c r="I52" s="29">
        <f t="shared" si="22"/>
        <v>3.3231650952116887E-2</v>
      </c>
      <c r="J52" s="29">
        <f t="shared" si="23"/>
        <v>5.9091925743681495E-2</v>
      </c>
    </row>
    <row r="53" spans="2:10" x14ac:dyDescent="0.15">
      <c r="B53" s="18" t="s">
        <v>67</v>
      </c>
      <c r="C53" s="22">
        <v>202961</v>
      </c>
      <c r="D53" s="22">
        <v>204552</v>
      </c>
      <c r="E53" s="22">
        <v>219134</v>
      </c>
      <c r="F53" s="22">
        <v>214887</v>
      </c>
      <c r="H53" s="27">
        <f t="shared" si="21"/>
        <v>7.8389444277471299E-3</v>
      </c>
      <c r="I53" s="27">
        <f t="shared" si="22"/>
        <v>7.1287496577887355E-2</v>
      </c>
      <c r="J53" s="27">
        <f t="shared" si="23"/>
        <v>-1.9380835470534041E-2</v>
      </c>
    </row>
    <row r="54" spans="2:10" ht="16" x14ac:dyDescent="0.2">
      <c r="B54"/>
      <c r="C54" s="21"/>
      <c r="D54" s="21"/>
      <c r="E54" s="21"/>
      <c r="F54" s="21"/>
      <c r="H54" s="7"/>
      <c r="I54" s="7"/>
      <c r="J54" s="7"/>
    </row>
    <row r="55" spans="2:10" x14ac:dyDescent="0.15">
      <c r="B55" s="17" t="s">
        <v>60</v>
      </c>
      <c r="C55" s="21"/>
      <c r="D55" s="21"/>
      <c r="E55" s="21"/>
      <c r="F55" s="21"/>
      <c r="H55" s="7"/>
      <c r="I55" s="7"/>
      <c r="J55" s="7"/>
    </row>
    <row r="56" spans="2:10" x14ac:dyDescent="0.15">
      <c r="B56" s="15" t="s">
        <v>53</v>
      </c>
      <c r="C56" s="13">
        <v>83448</v>
      </c>
      <c r="D56" s="26">
        <v>110476</v>
      </c>
      <c r="E56" s="13">
        <v>117020</v>
      </c>
      <c r="F56" s="26">
        <v>127489</v>
      </c>
      <c r="H56" s="29">
        <f t="shared" ref="H56" si="24">D56/C56-1</f>
        <v>0.32389032691017161</v>
      </c>
      <c r="I56" s="29">
        <f t="shared" ref="I56" si="25">E56/D56-1</f>
        <v>5.9234584887215336E-2</v>
      </c>
      <c r="J56" s="29">
        <f t="shared" ref="J56" si="26">F56/E56-1</f>
        <v>8.9463339600068359E-2</v>
      </c>
    </row>
    <row r="57" spans="2:10" x14ac:dyDescent="0.15">
      <c r="B57" s="15" t="s">
        <v>61</v>
      </c>
      <c r="C57" s="13">
        <v>28738</v>
      </c>
      <c r="D57" s="26">
        <v>30901</v>
      </c>
      <c r="E57" s="13">
        <v>29772</v>
      </c>
      <c r="F57" s="26">
        <v>30490</v>
      </c>
      <c r="H57" s="29">
        <f t="shared" ref="H57:H68" si="27">D57/C57-1</f>
        <v>7.5266198065279344E-2</v>
      </c>
      <c r="I57" s="29">
        <f t="shared" ref="I57:I64" si="28">E57/D57-1</f>
        <v>-3.6536034432542608E-2</v>
      </c>
      <c r="J57" s="29">
        <f t="shared" ref="J57:J64" si="29">F57/E57-1</f>
        <v>2.4116619642617243E-2</v>
      </c>
    </row>
    <row r="58" spans="2:10" x14ac:dyDescent="0.15">
      <c r="B58" s="15" t="s">
        <v>62</v>
      </c>
      <c r="C58" s="13">
        <v>726</v>
      </c>
      <c r="D58" s="26">
        <v>556</v>
      </c>
      <c r="E58" s="13">
        <v>724</v>
      </c>
      <c r="F58" s="26">
        <v>497</v>
      </c>
      <c r="H58" s="29">
        <f t="shared" si="27"/>
        <v>-0.2341597796143251</v>
      </c>
      <c r="I58" s="29">
        <f t="shared" si="28"/>
        <v>0.30215827338129486</v>
      </c>
      <c r="J58" s="29">
        <f t="shared" si="29"/>
        <v>-0.31353591160220995</v>
      </c>
    </row>
    <row r="59" spans="2:10" x14ac:dyDescent="0.15">
      <c r="B59" s="15" t="s">
        <v>54</v>
      </c>
      <c r="C59" s="13">
        <v>19807</v>
      </c>
      <c r="D59" s="26">
        <v>14022</v>
      </c>
      <c r="E59" s="13">
        <v>14364</v>
      </c>
      <c r="F59" s="26">
        <v>13643</v>
      </c>
      <c r="H59" s="29">
        <f t="shared" si="27"/>
        <v>-0.2920684606452264</v>
      </c>
      <c r="I59" s="29">
        <f t="shared" si="28"/>
        <v>2.4390243902439046E-2</v>
      </c>
      <c r="J59" s="29">
        <f t="shared" si="29"/>
        <v>-5.0194931773879126E-2</v>
      </c>
    </row>
    <row r="60" spans="2:10" x14ac:dyDescent="0.15">
      <c r="B60" s="15" t="s">
        <v>55</v>
      </c>
      <c r="C60" s="13">
        <v>22665</v>
      </c>
      <c r="D60" s="26">
        <v>24345</v>
      </c>
      <c r="E60" s="13">
        <v>24752</v>
      </c>
      <c r="F60" s="26">
        <v>24427</v>
      </c>
      <c r="H60" s="29">
        <f t="shared" si="27"/>
        <v>7.4123097286565187E-2</v>
      </c>
      <c r="I60" s="29">
        <f t="shared" si="28"/>
        <v>1.6718011912096875E-2</v>
      </c>
      <c r="J60" s="29">
        <f t="shared" si="29"/>
        <v>-1.3130252100840289E-2</v>
      </c>
    </row>
    <row r="61" spans="2:10" x14ac:dyDescent="0.15">
      <c r="B61" s="15" t="s">
        <v>58</v>
      </c>
      <c r="C61" s="13">
        <v>2586</v>
      </c>
      <c r="D61" s="26">
        <v>1663</v>
      </c>
      <c r="E61" s="13">
        <v>1698</v>
      </c>
      <c r="F61" s="26">
        <v>1986</v>
      </c>
      <c r="H61" s="29">
        <f t="shared" si="27"/>
        <v>-0.35692188708430006</v>
      </c>
      <c r="I61" s="29">
        <f t="shared" si="28"/>
        <v>2.1046301864100947E-2</v>
      </c>
      <c r="J61" s="29">
        <f t="shared" si="29"/>
        <v>0.16961130742049479</v>
      </c>
    </row>
    <row r="62" spans="2:10" x14ac:dyDescent="0.15">
      <c r="B62" s="15" t="s">
        <v>59</v>
      </c>
      <c r="C62" s="13">
        <v>24596</v>
      </c>
      <c r="D62" s="26">
        <v>23881</v>
      </c>
      <c r="E62" s="13">
        <v>28709</v>
      </c>
      <c r="F62" s="26">
        <v>27993</v>
      </c>
      <c r="H62" s="29">
        <f t="shared" si="27"/>
        <v>-2.9069767441860517E-2</v>
      </c>
      <c r="I62" s="29">
        <f t="shared" si="28"/>
        <v>0.20216908839663339</v>
      </c>
      <c r="J62" s="29">
        <f t="shared" si="29"/>
        <v>-2.493991431258491E-2</v>
      </c>
    </row>
    <row r="63" spans="2:10" ht="14" thickBot="1" x14ac:dyDescent="0.2">
      <c r="B63" s="15" t="s">
        <v>63</v>
      </c>
      <c r="C63" s="13">
        <v>158</v>
      </c>
      <c r="D63" s="26">
        <v>31</v>
      </c>
      <c r="E63" s="46" t="s">
        <v>116</v>
      </c>
      <c r="F63" s="39" t="s">
        <v>116</v>
      </c>
      <c r="H63" s="29">
        <f t="shared" si="27"/>
        <v>-0.80379746835443044</v>
      </c>
      <c r="I63" s="43" t="s">
        <v>116</v>
      </c>
      <c r="J63" s="43" t="s">
        <v>116</v>
      </c>
    </row>
    <row r="64" spans="2:10" x14ac:dyDescent="0.15">
      <c r="B64" s="18" t="s">
        <v>66</v>
      </c>
      <c r="C64" s="22">
        <v>182723</v>
      </c>
      <c r="D64" s="22">
        <v>205874</v>
      </c>
      <c r="E64" s="22">
        <v>217039</v>
      </c>
      <c r="F64" s="22">
        <v>226525</v>
      </c>
      <c r="H64" s="27">
        <f t="shared" si="27"/>
        <v>0.1266999775616644</v>
      </c>
      <c r="I64" s="27">
        <f t="shared" si="28"/>
        <v>5.4232200277839926E-2</v>
      </c>
      <c r="J64" s="27">
        <f t="shared" si="29"/>
        <v>4.3706430641497596E-2</v>
      </c>
    </row>
    <row r="65" spans="2:10" ht="14" thickBot="1" x14ac:dyDescent="0.2">
      <c r="B65" s="7"/>
      <c r="C65" s="21"/>
      <c r="D65" s="21"/>
      <c r="E65" s="21"/>
      <c r="F65" s="21"/>
      <c r="H65" s="7"/>
      <c r="I65" s="7"/>
      <c r="J65" s="7"/>
    </row>
    <row r="66" spans="2:10" x14ac:dyDescent="0.15">
      <c r="B66" s="18" t="s">
        <v>65</v>
      </c>
      <c r="C66" s="22">
        <v>385685</v>
      </c>
      <c r="D66" s="22">
        <v>410426</v>
      </c>
      <c r="E66" s="22">
        <v>436174</v>
      </c>
      <c r="F66" s="22">
        <v>441413</v>
      </c>
      <c r="H66" s="27">
        <f t="shared" si="27"/>
        <v>6.4148203845106666E-2</v>
      </c>
      <c r="I66" s="27">
        <f t="shared" ref="I66" si="30">E66/D66-1</f>
        <v>6.2734816995024589E-2</v>
      </c>
      <c r="J66" s="27">
        <f t="shared" ref="J66" si="31">F66/E66-1</f>
        <v>1.2011261560753272E-2</v>
      </c>
    </row>
    <row r="67" spans="2:10" ht="14" thickBot="1" x14ac:dyDescent="0.2">
      <c r="B67" s="7"/>
      <c r="C67" s="21"/>
      <c r="D67" s="21"/>
      <c r="E67" s="21"/>
      <c r="F67" s="21"/>
      <c r="H67" s="7"/>
      <c r="I67" s="7"/>
      <c r="J67" s="7"/>
    </row>
    <row r="68" spans="2:10" ht="14" thickBot="1" x14ac:dyDescent="0.2">
      <c r="B68" s="8" t="s">
        <v>64</v>
      </c>
      <c r="C68" s="9">
        <v>564013</v>
      </c>
      <c r="D68" s="9">
        <v>600338</v>
      </c>
      <c r="E68" s="9">
        <v>632905</v>
      </c>
      <c r="F68" s="9">
        <v>644467</v>
      </c>
      <c r="H68" s="30">
        <f t="shared" si="27"/>
        <v>6.4404543866896757E-2</v>
      </c>
      <c r="I68" s="30">
        <f t="shared" ref="I68" si="32">E68/D68-1</f>
        <v>5.4247773754118489E-2</v>
      </c>
      <c r="J68" s="30">
        <f t="shared" ref="J68" si="33">F68/E68-1</f>
        <v>1.8268144508259532E-2</v>
      </c>
    </row>
    <row r="69" spans="2:10" ht="14" thickTop="1" x14ac:dyDescent="0.15"/>
  </sheetData>
  <conditionalFormatting sqref="H6:J68">
    <cfRule type="iconSet" priority="1">
      <iconSet>
        <cfvo type="percent" val="0"/>
        <cfvo type="num" val="-0.1"/>
        <cfvo type="num" val="0.1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FBF6-9DD7-A94D-9CE1-0CD4BE5A2BBD}">
  <dimension ref="B1:Q69"/>
  <sheetViews>
    <sheetView zoomScale="170" workbookViewId="0"/>
  </sheetViews>
  <sheetFormatPr baseColWidth="10" defaultRowHeight="13" x14ac:dyDescent="0.15"/>
  <cols>
    <col min="1" max="1" width="2.1640625" style="2" customWidth="1"/>
    <col min="2" max="2" width="66.5" style="2" bestFit="1" customWidth="1"/>
    <col min="3" max="6" width="8.1640625" style="2" bestFit="1" customWidth="1"/>
    <col min="7" max="7" width="2.1640625" style="2" customWidth="1"/>
    <col min="8" max="10" width="10" style="2" bestFit="1" customWidth="1"/>
    <col min="11" max="12" width="8.1640625" style="2" bestFit="1" customWidth="1"/>
    <col min="13" max="16384" width="10.83203125" style="2"/>
  </cols>
  <sheetData>
    <row r="1" spans="2:17" x14ac:dyDescent="0.15">
      <c r="B1" s="3" t="s">
        <v>367</v>
      </c>
    </row>
    <row r="3" spans="2:17" ht="15" thickBot="1" x14ac:dyDescent="0.2">
      <c r="B3" s="10" t="s">
        <v>19</v>
      </c>
      <c r="C3" s="10">
        <v>2022</v>
      </c>
      <c r="D3" s="10">
        <v>2023</v>
      </c>
      <c r="E3" s="10">
        <v>2024</v>
      </c>
      <c r="F3" s="10">
        <v>2025</v>
      </c>
      <c r="H3" s="11" t="s">
        <v>20</v>
      </c>
      <c r="I3" s="28" t="s">
        <v>21</v>
      </c>
      <c r="J3" s="28" t="s">
        <v>22</v>
      </c>
    </row>
    <row r="4" spans="2:17" x14ac:dyDescent="0.15">
      <c r="B4" s="16" t="s">
        <v>24</v>
      </c>
      <c r="C4" s="15"/>
      <c r="D4" s="15"/>
      <c r="E4" s="15"/>
      <c r="F4" s="15"/>
    </row>
    <row r="5" spans="2:17" ht="16" x14ac:dyDescent="0.2">
      <c r="B5" s="16" t="s">
        <v>25</v>
      </c>
      <c r="C5" s="15"/>
      <c r="D5" s="15"/>
      <c r="E5" s="15"/>
      <c r="F5" s="15"/>
      <c r="O5" s="1"/>
      <c r="P5" s="1"/>
      <c r="Q5" s="1"/>
    </row>
    <row r="6" spans="2:17" ht="16" x14ac:dyDescent="0.2">
      <c r="B6" s="15" t="s">
        <v>71</v>
      </c>
      <c r="C6" s="240">
        <f>'Balance Sheet'!C6/'Balance Sheet'!$C$31</f>
        <v>0.14758702370335436</v>
      </c>
      <c r="D6" s="240">
        <f>'Balance Sheet'!D6/'Balance Sheet'!$D$31</f>
        <v>0.14843138365387498</v>
      </c>
      <c r="E6" s="240">
        <f>'Balance Sheet'!E6/'Balance Sheet'!$E$31</f>
        <v>0.14746762942305716</v>
      </c>
      <c r="F6" s="240">
        <f>'Balance Sheet'!F6/'Balance Sheet'!$F$31</f>
        <v>0.14193744598249405</v>
      </c>
      <c r="G6" s="21"/>
      <c r="H6" s="29">
        <f>D6/C6-1</f>
        <v>5.7210988427935927E-3</v>
      </c>
      <c r="I6" s="29">
        <f t="shared" ref="I6:J17" si="0">E6/D6-1</f>
        <v>-6.4929276214603648E-3</v>
      </c>
      <c r="J6" s="29">
        <f t="shared" si="0"/>
        <v>-3.7500999115528177E-2</v>
      </c>
      <c r="Q6" s="1"/>
    </row>
    <row r="7" spans="2:17" ht="16" x14ac:dyDescent="0.2">
      <c r="B7" s="15" t="s">
        <v>26</v>
      </c>
      <c r="C7" s="240">
        <f>'Balance Sheet'!C7/'Balance Sheet'!$C$31</f>
        <v>0.11327753083705518</v>
      </c>
      <c r="D7" s="240">
        <f>'Balance Sheet'!D7/'Balance Sheet'!$D$31</f>
        <v>0.11140390913118943</v>
      </c>
      <c r="E7" s="240">
        <f>'Balance Sheet'!E7/'Balance Sheet'!$E$31</f>
        <v>0.11289530024253246</v>
      </c>
      <c r="F7" s="240">
        <f>'Balance Sheet'!F7/'Balance Sheet'!$F$31</f>
        <v>0.11338982445959218</v>
      </c>
      <c r="G7" s="21"/>
      <c r="H7" s="29">
        <f t="shared" ref="H7:H17" si="1">D7/C7-1</f>
        <v>-1.6540100159500026E-2</v>
      </c>
      <c r="I7" s="29">
        <f t="shared" si="0"/>
        <v>1.3387242180045611E-2</v>
      </c>
      <c r="J7" s="29">
        <f t="shared" si="0"/>
        <v>4.3803791300198736E-3</v>
      </c>
      <c r="Q7" s="1"/>
    </row>
    <row r="8" spans="2:17" ht="16" x14ac:dyDescent="0.2">
      <c r="B8" s="15" t="s">
        <v>27</v>
      </c>
      <c r="C8" s="240">
        <f>'Balance Sheet'!C8/'Balance Sheet'!$C$31</f>
        <v>0.10528126124752443</v>
      </c>
      <c r="D8" s="240">
        <f>'Balance Sheet'!D8/'Balance Sheet'!$D$31</f>
        <v>0.10676319006959413</v>
      </c>
      <c r="E8" s="240">
        <f>'Balance Sheet'!E8/'Balance Sheet'!$E$31</f>
        <v>0.11564610802569106</v>
      </c>
      <c r="F8" s="240">
        <f>'Balance Sheet'!F8/'Balance Sheet'!$F$31</f>
        <v>0.12799103755506488</v>
      </c>
      <c r="G8" s="21"/>
      <c r="H8" s="29">
        <f t="shared" si="1"/>
        <v>1.4075903009801216E-2</v>
      </c>
      <c r="I8" s="29">
        <f t="shared" si="0"/>
        <v>8.3202065714845563E-2</v>
      </c>
      <c r="J8" s="29">
        <f t="shared" si="0"/>
        <v>0.1067474707115208</v>
      </c>
      <c r="Q8" s="1"/>
    </row>
    <row r="9" spans="2:17" ht="16" x14ac:dyDescent="0.2">
      <c r="B9" s="15" t="s">
        <v>28</v>
      </c>
      <c r="C9" s="240">
        <f>'Balance Sheet'!C9/'Balance Sheet'!$C$31</f>
        <v>1.0815353546815411E-3</v>
      </c>
      <c r="D9" s="240">
        <f>'Balance Sheet'!D9/'Balance Sheet'!$D$31</f>
        <v>1.0527402896368379E-3</v>
      </c>
      <c r="E9" s="240">
        <f>'Balance Sheet'!E9/'Balance Sheet'!$E$31</f>
        <v>9.8276992597625236E-4</v>
      </c>
      <c r="F9" s="240">
        <f>'Balance Sheet'!F9/'Balance Sheet'!$F$31</f>
        <v>9.4496692615758454E-4</v>
      </c>
      <c r="G9" s="21"/>
      <c r="H9" s="29">
        <f t="shared" si="1"/>
        <v>-2.6624247575505189E-2</v>
      </c>
      <c r="I9" s="29">
        <f t="shared" si="0"/>
        <v>-6.6464981296311065E-2</v>
      </c>
      <c r="J9" s="29">
        <f t="shared" si="0"/>
        <v>-3.8465767846035281E-2</v>
      </c>
      <c r="Q9" s="1"/>
    </row>
    <row r="10" spans="2:17" ht="16" x14ac:dyDescent="0.2">
      <c r="B10" s="15" t="s">
        <v>29</v>
      </c>
      <c r="C10" s="240">
        <f>'Balance Sheet'!C10/'Balance Sheet'!$C$31</f>
        <v>2.2460475201812723E-2</v>
      </c>
      <c r="D10" s="240">
        <f>'Balance Sheet'!D10/'Balance Sheet'!$D$31</f>
        <v>2.0386848741875411E-2</v>
      </c>
      <c r="E10" s="240">
        <f>'Balance Sheet'!E10/'Balance Sheet'!$E$31</f>
        <v>1.6225183874357132E-2</v>
      </c>
      <c r="F10" s="240">
        <f>'Balance Sheet'!F10/'Balance Sheet'!$F$31</f>
        <v>1.5510491615552076E-2</v>
      </c>
      <c r="G10" s="21"/>
      <c r="H10" s="29">
        <f t="shared" si="1"/>
        <v>-9.2323356532098444E-2</v>
      </c>
      <c r="I10" s="29">
        <f t="shared" si="0"/>
        <v>-0.20413477924962731</v>
      </c>
      <c r="J10" s="29">
        <f t="shared" si="0"/>
        <v>-4.4048330320285767E-2</v>
      </c>
      <c r="Q10" s="1"/>
    </row>
    <row r="11" spans="2:17" ht="16" x14ac:dyDescent="0.2">
      <c r="B11" s="15" t="s">
        <v>30</v>
      </c>
      <c r="C11" s="240">
        <f>'Balance Sheet'!C11/'Balance Sheet'!$C$31</f>
        <v>6.1860276270227811E-3</v>
      </c>
      <c r="D11" s="240">
        <f>'Balance Sheet'!D11/'Balance Sheet'!$D$31</f>
        <v>7.3808421256025773E-3</v>
      </c>
      <c r="E11" s="240">
        <f>'Balance Sheet'!E11/'Balance Sheet'!$E$31</f>
        <v>9.0550714562217076E-3</v>
      </c>
      <c r="F11" s="240">
        <f>'Balance Sheet'!F11/'Balance Sheet'!$F$31</f>
        <v>1.1429599964001259E-2</v>
      </c>
      <c r="G11" s="21"/>
      <c r="H11" s="29">
        <f t="shared" si="1"/>
        <v>0.19314729429277344</v>
      </c>
      <c r="I11" s="29">
        <f t="shared" si="0"/>
        <v>0.22683445901268962</v>
      </c>
      <c r="J11" s="29">
        <f t="shared" si="0"/>
        <v>0.26223189063273722</v>
      </c>
      <c r="Q11" s="1"/>
    </row>
    <row r="12" spans="2:17" ht="16" x14ac:dyDescent="0.2">
      <c r="B12" s="15" t="s">
        <v>31</v>
      </c>
      <c r="C12" s="240">
        <f>'Balance Sheet'!C12/'Balance Sheet'!$C$31</f>
        <v>0.15415247520890477</v>
      </c>
      <c r="D12" s="240">
        <f>'Balance Sheet'!D12/'Balance Sheet'!$D$31</f>
        <v>0.15736801601764339</v>
      </c>
      <c r="E12" s="240">
        <f>'Balance Sheet'!E12/'Balance Sheet'!$E$31</f>
        <v>0.15971907316263895</v>
      </c>
      <c r="F12" s="240">
        <f>'Balance Sheet'!F12/'Balance Sheet'!$F$31</f>
        <v>0.15707553683896924</v>
      </c>
      <c r="G12" s="21"/>
      <c r="H12" s="29">
        <f t="shared" si="1"/>
        <v>2.08594821742627E-2</v>
      </c>
      <c r="I12" s="29">
        <f t="shared" si="0"/>
        <v>1.493986646391976E-2</v>
      </c>
      <c r="J12" s="29">
        <f t="shared" si="0"/>
        <v>-1.6551162433667721E-2</v>
      </c>
      <c r="Q12" s="1"/>
    </row>
    <row r="13" spans="2:17" x14ac:dyDescent="0.15">
      <c r="B13" s="15" t="s">
        <v>32</v>
      </c>
      <c r="C13" s="240">
        <f>'Balance Sheet'!C13/'Balance Sheet'!$C$31</f>
        <v>2.4524257419598485E-2</v>
      </c>
      <c r="D13" s="240">
        <f>'Balance Sheet'!D13/'Balance Sheet'!$D$31</f>
        <v>1.9583967698196682E-2</v>
      </c>
      <c r="E13" s="240">
        <f>'Balance Sheet'!E13/'Balance Sheet'!$E$31</f>
        <v>1.9164013556536921E-2</v>
      </c>
      <c r="F13" s="240">
        <f>'Balance Sheet'!F13/'Balance Sheet'!$F$31</f>
        <v>1.8142123646362033E-2</v>
      </c>
      <c r="G13" s="21"/>
      <c r="H13" s="29">
        <f t="shared" si="1"/>
        <v>-0.20144502795235653</v>
      </c>
      <c r="I13" s="29">
        <f t="shared" si="0"/>
        <v>-2.1443772177914155E-2</v>
      </c>
      <c r="J13" s="29">
        <f t="shared" si="0"/>
        <v>-5.332337650253427E-2</v>
      </c>
      <c r="Q13" s="12"/>
    </row>
    <row r="14" spans="2:17" ht="16" x14ac:dyDescent="0.2">
      <c r="B14" s="15" t="s">
        <v>33</v>
      </c>
      <c r="C14" s="240">
        <f>'Balance Sheet'!C14/'Balance Sheet'!$C$31</f>
        <v>4.391742743518323E-3</v>
      </c>
      <c r="D14" s="240">
        <f>'Balance Sheet'!D14/'Balance Sheet'!$D$31</f>
        <v>4.5007978838587596E-3</v>
      </c>
      <c r="E14" s="240">
        <f>'Balance Sheet'!E14/'Balance Sheet'!$E$31</f>
        <v>4.5314857680062567E-3</v>
      </c>
      <c r="F14" s="240">
        <f>'Balance Sheet'!F14/'Balance Sheet'!$F$31</f>
        <v>5.6651465474570461E-3</v>
      </c>
      <c r="G14" s="21"/>
      <c r="H14" s="29">
        <f t="shared" si="1"/>
        <v>2.4831859858228E-2</v>
      </c>
      <c r="I14" s="29">
        <f t="shared" si="0"/>
        <v>6.8183208709622356E-3</v>
      </c>
      <c r="J14" s="29">
        <f t="shared" si="0"/>
        <v>0.25017418954613047</v>
      </c>
      <c r="Q14" s="1"/>
    </row>
    <row r="15" spans="2:17" ht="16" x14ac:dyDescent="0.2">
      <c r="B15" s="15" t="s">
        <v>34</v>
      </c>
      <c r="C15" s="240">
        <f>'Balance Sheet'!C15/'Balance Sheet'!$C$31</f>
        <v>6.9856545859758553E-4</v>
      </c>
      <c r="D15" s="240">
        <f>'Balance Sheet'!D15/'Balance Sheet'!$D$31</f>
        <v>7.2792326989129454E-4</v>
      </c>
      <c r="E15" s="240">
        <f>'Balance Sheet'!E15/'Balance Sheet'!$E$31</f>
        <v>6.462265268879216E-4</v>
      </c>
      <c r="F15" s="240">
        <f>'Balance Sheet'!F15/'Balance Sheet'!$F$31</f>
        <v>6.3773629991915805E-4</v>
      </c>
      <c r="G15" s="21"/>
      <c r="H15" s="29">
        <f t="shared" si="1"/>
        <v>4.2025855891367314E-2</v>
      </c>
      <c r="I15" s="29">
        <f t="shared" si="0"/>
        <v>-0.11223262997976868</v>
      </c>
      <c r="J15" s="29">
        <f t="shared" si="0"/>
        <v>-1.3138159167885854E-2</v>
      </c>
      <c r="Q15" s="1"/>
    </row>
    <row r="16" spans="2:17" ht="17" thickBot="1" x14ac:dyDescent="0.25">
      <c r="B16" s="15" t="s">
        <v>35</v>
      </c>
      <c r="C16" s="240">
        <f>'Balance Sheet'!C16/'Balance Sheet'!$C$31</f>
        <v>2.2923230492914171E-2</v>
      </c>
      <c r="D16" s="240">
        <f>'Balance Sheet'!D16/'Balance Sheet'!$D$31</f>
        <v>2.322025259104038E-2</v>
      </c>
      <c r="E16" s="240">
        <f>'Balance Sheet'!E16/'Balance Sheet'!$E$31</f>
        <v>2.6198244602270482E-2</v>
      </c>
      <c r="F16" s="240">
        <f>'Balance Sheet'!F16/'Balance Sheet'!$F$31</f>
        <v>2.2671447878634593E-2</v>
      </c>
      <c r="G16" s="21"/>
      <c r="H16" s="29">
        <f t="shared" si="1"/>
        <v>1.2957253045901229E-2</v>
      </c>
      <c r="I16" s="29">
        <f t="shared" si="0"/>
        <v>0.12824976815192657</v>
      </c>
      <c r="J16" s="29">
        <f t="shared" si="0"/>
        <v>-0.13461958147112796</v>
      </c>
      <c r="Q16" s="1"/>
    </row>
    <row r="17" spans="2:17" ht="16" x14ac:dyDescent="0.2">
      <c r="B17" s="18" t="s">
        <v>70</v>
      </c>
      <c r="C17" s="96">
        <f>'Balance Sheet'!C17/'Balance Sheet'!$C$31</f>
        <v>0.60256235228620614</v>
      </c>
      <c r="D17" s="96">
        <f>'Balance Sheet'!D17/'Balance Sheet'!$D$31</f>
        <v>0.6008182057440975</v>
      </c>
      <c r="E17" s="96">
        <f>'Balance Sheet'!E17/'Balance Sheet'!$E$31</f>
        <v>0.61253110656417631</v>
      </c>
      <c r="F17" s="96">
        <f>'Balance Sheet'!F17/'Balance Sheet'!$F$31</f>
        <v>0.61539535771420417</v>
      </c>
      <c r="G17" s="31"/>
      <c r="H17" s="27">
        <f t="shared" si="1"/>
        <v>-2.8945494777280478E-3</v>
      </c>
      <c r="I17" s="27">
        <f t="shared" si="0"/>
        <v>1.9494916612210034E-2</v>
      </c>
      <c r="J17" s="27">
        <f t="shared" si="0"/>
        <v>4.6760909271923445E-3</v>
      </c>
      <c r="Q17" s="1"/>
    </row>
    <row r="18" spans="2:17" ht="16" x14ac:dyDescent="0.2">
      <c r="B18"/>
      <c r="C18" s="1"/>
      <c r="D18" s="1"/>
      <c r="E18" s="1"/>
      <c r="F18" s="1"/>
      <c r="G18" s="21"/>
      <c r="H18" s="7"/>
      <c r="I18" s="7"/>
      <c r="J18" s="7"/>
      <c r="Q18" s="1"/>
    </row>
    <row r="19" spans="2:17" ht="16" x14ac:dyDescent="0.2">
      <c r="B19" s="17" t="s">
        <v>36</v>
      </c>
      <c r="C19" s="1"/>
      <c r="D19" s="1"/>
      <c r="E19" s="1"/>
      <c r="F19" s="1"/>
      <c r="G19" s="21"/>
      <c r="H19" s="7"/>
      <c r="I19" s="7"/>
      <c r="J19" s="7"/>
      <c r="Q19" s="1"/>
    </row>
    <row r="20" spans="2:17" ht="16" x14ac:dyDescent="0.2">
      <c r="B20" s="15" t="s">
        <v>37</v>
      </c>
      <c r="C20" s="240">
        <f>'Balance Sheet'!C20/'Balance Sheet'!$C$31</f>
        <v>9.2682260869873564E-2</v>
      </c>
      <c r="D20" s="240">
        <f>'Balance Sheet'!D20/'Balance Sheet'!$D$31</f>
        <v>8.9284702950671119E-2</v>
      </c>
      <c r="E20" s="240">
        <f>'Balance Sheet'!E20/'Balance Sheet'!$E$31</f>
        <v>8.9618505146901978E-2</v>
      </c>
      <c r="F20" s="240">
        <f>'Balance Sheet'!F20/'Balance Sheet'!$F$31</f>
        <v>8.695868058411059E-2</v>
      </c>
      <c r="G20" s="21"/>
      <c r="H20" s="29">
        <f t="shared" ref="H20:J31" si="2">D20/C20-1</f>
        <v>-3.6658125161325494E-2</v>
      </c>
      <c r="I20" s="29">
        <f t="shared" si="2"/>
        <v>3.7386269450354614E-3</v>
      </c>
      <c r="J20" s="29">
        <f t="shared" si="2"/>
        <v>-2.9679412286909068E-2</v>
      </c>
      <c r="Q20" s="1"/>
    </row>
    <row r="21" spans="2:17" ht="16" x14ac:dyDescent="0.2">
      <c r="B21" s="15" t="s">
        <v>38</v>
      </c>
      <c r="C21" s="240">
        <f>'Balance Sheet'!C21/'Balance Sheet'!$C$31</f>
        <v>3.2860944694537181E-2</v>
      </c>
      <c r="D21" s="240">
        <f>'Balance Sheet'!D21/'Balance Sheet'!$D$31</f>
        <v>3.6394497766258339E-2</v>
      </c>
      <c r="E21" s="240">
        <f>'Balance Sheet'!E21/'Balance Sheet'!$E$31</f>
        <v>3.3385737195945682E-2</v>
      </c>
      <c r="F21" s="240">
        <f>'Balance Sheet'!F21/'Balance Sheet'!$F$31</f>
        <v>3.2212665660150172E-2</v>
      </c>
      <c r="G21" s="21"/>
      <c r="H21" s="29">
        <f t="shared" si="2"/>
        <v>0.10753047742746658</v>
      </c>
      <c r="I21" s="29">
        <f t="shared" si="2"/>
        <v>-8.2670753959465437E-2</v>
      </c>
      <c r="J21" s="29">
        <f t="shared" si="2"/>
        <v>-3.5136906784792088E-2</v>
      </c>
      <c r="Q21" s="1"/>
    </row>
    <row r="22" spans="2:17" ht="16" x14ac:dyDescent="0.2">
      <c r="B22" s="15" t="s">
        <v>31</v>
      </c>
      <c r="C22" s="240">
        <f>'Balance Sheet'!C22/'Balance Sheet'!$C$31</f>
        <v>0.10912691728736749</v>
      </c>
      <c r="D22" s="240">
        <f>'Balance Sheet'!D22/'Balance Sheet'!$D$31</f>
        <v>0.11057271070630212</v>
      </c>
      <c r="E22" s="240">
        <f>'Balance Sheet'!E22/'Balance Sheet'!$E$31</f>
        <v>0.10879199879918787</v>
      </c>
      <c r="F22" s="240">
        <f>'Balance Sheet'!F22/'Balance Sheet'!$F$31</f>
        <v>0.10865723147965684</v>
      </c>
      <c r="G22" s="21"/>
      <c r="H22" s="29">
        <f t="shared" si="2"/>
        <v>1.3248733262824386E-2</v>
      </c>
      <c r="I22" s="29">
        <f t="shared" si="2"/>
        <v>-1.610444291127211E-2</v>
      </c>
      <c r="J22" s="29">
        <f t="shared" si="2"/>
        <v>-1.2387613153407306E-3</v>
      </c>
      <c r="Q22" s="1"/>
    </row>
    <row r="23" spans="2:17" x14ac:dyDescent="0.15">
      <c r="B23" s="15" t="s">
        <v>32</v>
      </c>
      <c r="C23" s="240">
        <f>'Balance Sheet'!C23/'Balance Sheet'!$C$31</f>
        <v>2.6857536971665548E-2</v>
      </c>
      <c r="D23" s="240">
        <f>'Balance Sheet'!D23/'Balance Sheet'!$D$31</f>
        <v>2.8239091978185624E-2</v>
      </c>
      <c r="E23" s="240">
        <f>'Balance Sheet'!E23/'Balance Sheet'!$E$31</f>
        <v>2.9465717603747797E-2</v>
      </c>
      <c r="F23" s="240">
        <f>'Balance Sheet'!F23/'Balance Sheet'!$F$31</f>
        <v>3.1278560422798994E-2</v>
      </c>
      <c r="G23" s="21"/>
      <c r="H23" s="29">
        <f t="shared" si="2"/>
        <v>5.144012304544554E-2</v>
      </c>
      <c r="I23" s="29">
        <f t="shared" si="2"/>
        <v>4.3437148280466298E-2</v>
      </c>
      <c r="J23" s="29">
        <f t="shared" si="2"/>
        <v>6.1523796685698739E-2</v>
      </c>
      <c r="Q23" s="25"/>
    </row>
    <row r="24" spans="2:17" ht="16" x14ac:dyDescent="0.2">
      <c r="B24" s="15" t="s">
        <v>33</v>
      </c>
      <c r="C24" s="240">
        <f>'Balance Sheet'!C24/'Balance Sheet'!$C$31</f>
        <v>1.3852517583814557E-2</v>
      </c>
      <c r="D24" s="240">
        <f>'Balance Sheet'!D24/'Balance Sheet'!$D$31</f>
        <v>1.4656743367902748E-2</v>
      </c>
      <c r="E24" s="240">
        <f>'Balance Sheet'!E24/'Balance Sheet'!$E$31</f>
        <v>1.6143023044532748E-2</v>
      </c>
      <c r="F24" s="240">
        <f>'Balance Sheet'!F24/'Balance Sheet'!$F$31</f>
        <v>1.5332049585161071E-2</v>
      </c>
      <c r="G24" s="21"/>
      <c r="H24" s="29">
        <f t="shared" si="2"/>
        <v>5.8056290434011615E-2</v>
      </c>
      <c r="I24" s="29">
        <f t="shared" si="2"/>
        <v>0.1014058607237982</v>
      </c>
      <c r="J24" s="29">
        <f t="shared" si="2"/>
        <v>-5.0236777655244369E-2</v>
      </c>
      <c r="Q24" s="1"/>
    </row>
    <row r="25" spans="2:17" ht="16" x14ac:dyDescent="0.2">
      <c r="B25" s="15" t="s">
        <v>34</v>
      </c>
      <c r="C25" s="240">
        <f>'Balance Sheet'!C25/'Balance Sheet'!$C$31</f>
        <v>3.07085120378431E-3</v>
      </c>
      <c r="D25" s="240">
        <f>'Balance Sheet'!D25/'Balance Sheet'!$D$31</f>
        <v>2.7467859772328253E-3</v>
      </c>
      <c r="E25" s="240">
        <f>'Balance Sheet'!E25/'Balance Sheet'!$E$31</f>
        <v>3.2200725227324797E-3</v>
      </c>
      <c r="F25" s="240">
        <f>'Balance Sheet'!F25/'Balance Sheet'!$F$31</f>
        <v>4.1491651240482446E-3</v>
      </c>
      <c r="G25" s="21"/>
      <c r="H25" s="29">
        <f t="shared" si="2"/>
        <v>-0.10552944608717241</v>
      </c>
      <c r="I25" s="29">
        <f t="shared" si="2"/>
        <v>0.17230557801829693</v>
      </c>
      <c r="J25" s="29">
        <f t="shared" si="2"/>
        <v>0.28853157646504135</v>
      </c>
      <c r="Q25" s="1"/>
    </row>
    <row r="26" spans="2:17" ht="16" x14ac:dyDescent="0.2">
      <c r="B26" s="15" t="s">
        <v>39</v>
      </c>
      <c r="C26" s="240">
        <f>'Balance Sheet'!C26/'Balance Sheet'!$C$31</f>
        <v>6.5966564600461339E-2</v>
      </c>
      <c r="D26" s="240">
        <f>'Balance Sheet'!D26/'Balance Sheet'!$D$31</f>
        <v>4.4594878218603522E-2</v>
      </c>
      <c r="E26" s="240">
        <f>'Balance Sheet'!E26/'Balance Sheet'!$E$31</f>
        <v>4.3175516072712333E-2</v>
      </c>
      <c r="F26" s="240">
        <f>'Balance Sheet'!F26/'Balance Sheet'!$F$31</f>
        <v>4.5808396706115286E-2</v>
      </c>
      <c r="G26" s="21"/>
      <c r="H26" s="29">
        <f t="shared" si="2"/>
        <v>-0.32397755607404111</v>
      </c>
      <c r="I26" s="29">
        <f t="shared" si="2"/>
        <v>-3.1827918419991996E-2</v>
      </c>
      <c r="J26" s="29">
        <f t="shared" si="2"/>
        <v>6.0980872329791991E-2</v>
      </c>
      <c r="Q26" s="1"/>
    </row>
    <row r="27" spans="2:17" ht="16" x14ac:dyDescent="0.2">
      <c r="B27" s="15" t="s">
        <v>40</v>
      </c>
      <c r="C27" s="240">
        <f>'Balance Sheet'!C27/'Balance Sheet'!$C$31</f>
        <v>5.1722212076671992E-2</v>
      </c>
      <c r="D27" s="240">
        <f>'Balance Sheet'!D27/'Balance Sheet'!$D$31</f>
        <v>7.2374229184226216E-2</v>
      </c>
      <c r="E27" s="240">
        <f>'Balance Sheet'!E27/'Balance Sheet'!$E$31</f>
        <v>6.36683230500628E-2</v>
      </c>
      <c r="F27" s="240">
        <f>'Balance Sheet'!F27/'Balance Sheet'!$F$31</f>
        <v>6.020634105392518E-2</v>
      </c>
      <c r="G27" s="21"/>
      <c r="H27" s="29">
        <f t="shared" si="2"/>
        <v>0.39928719747987729</v>
      </c>
      <c r="I27" s="29">
        <f t="shared" si="2"/>
        <v>-0.12029013962971291</v>
      </c>
      <c r="J27" s="29">
        <f t="shared" si="2"/>
        <v>-5.4375265913874316E-2</v>
      </c>
      <c r="Q27" s="1"/>
    </row>
    <row r="28" spans="2:17" ht="17" thickBot="1" x14ac:dyDescent="0.25">
      <c r="B28" s="15" t="s">
        <v>41</v>
      </c>
      <c r="C28" s="240">
        <f>'Balance Sheet'!C28/'Balance Sheet'!$C$31</f>
        <v>1.2996154343960157E-3</v>
      </c>
      <c r="D28" s="240">
        <f>'Balance Sheet'!D28/'Balance Sheet'!$D$31</f>
        <v>3.1648837821360634E-4</v>
      </c>
      <c r="E28" s="250" t="s">
        <v>116</v>
      </c>
      <c r="F28" s="250" t="s">
        <v>116</v>
      </c>
      <c r="G28" s="21"/>
      <c r="H28" s="29">
        <f t="shared" si="2"/>
        <v>-0.75647536198991716</v>
      </c>
      <c r="I28" s="43" t="s">
        <v>116</v>
      </c>
      <c r="J28" s="43" t="s">
        <v>116</v>
      </c>
      <c r="Q28" s="1"/>
    </row>
    <row r="29" spans="2:17" ht="16" x14ac:dyDescent="0.2">
      <c r="B29" s="18" t="s">
        <v>69</v>
      </c>
      <c r="C29" s="96">
        <f>'Balance Sheet'!C29/'Balance Sheet'!$C$31</f>
        <v>0.39743587470501568</v>
      </c>
      <c r="D29" s="96">
        <f>'Balance Sheet'!D29/'Balance Sheet'!$D$31</f>
        <v>0.3991817942559025</v>
      </c>
      <c r="E29" s="96">
        <f>'Balance Sheet'!E29/'Balance Sheet'!$E$31</f>
        <v>0.38746889343582369</v>
      </c>
      <c r="F29" s="96">
        <f>'Balance Sheet'!F29/'Balance Sheet'!$F$31</f>
        <v>0.38460464228579588</v>
      </c>
      <c r="G29" s="31"/>
      <c r="H29" s="27">
        <f t="shared" si="2"/>
        <v>4.3929591212235053E-3</v>
      </c>
      <c r="I29" s="27">
        <f t="shared" si="2"/>
        <v>-2.9342272089117438E-2</v>
      </c>
      <c r="J29" s="27">
        <f t="shared" si="2"/>
        <v>-7.3922092806715245E-3</v>
      </c>
      <c r="Q29" s="1"/>
    </row>
    <row r="30" spans="2:17" ht="17" thickBot="1" x14ac:dyDescent="0.25">
      <c r="B30"/>
      <c r="C30" s="1"/>
      <c r="D30" s="1"/>
      <c r="E30" s="1"/>
      <c r="F30" s="1"/>
      <c r="G30" s="21"/>
      <c r="H30" s="7"/>
      <c r="I30" s="7"/>
      <c r="J30" s="7"/>
      <c r="Q30" s="1"/>
    </row>
    <row r="31" spans="2:17" ht="17" thickBot="1" x14ac:dyDescent="0.25">
      <c r="B31" s="8" t="s">
        <v>42</v>
      </c>
      <c r="C31" s="241">
        <f>'Balance Sheet'!C31/'Balance Sheet'!$C$31</f>
        <v>1</v>
      </c>
      <c r="D31" s="241">
        <f>'Balance Sheet'!D31/'Balance Sheet'!$D$31</f>
        <v>1</v>
      </c>
      <c r="E31" s="241">
        <f>'Balance Sheet'!E31/'Balance Sheet'!$E$31</f>
        <v>1</v>
      </c>
      <c r="F31" s="241">
        <f>'Balance Sheet'!F31/'Balance Sheet'!$F$31</f>
        <v>1</v>
      </c>
      <c r="G31" s="21"/>
      <c r="H31" s="30">
        <f t="shared" si="2"/>
        <v>0</v>
      </c>
      <c r="I31" s="30">
        <f t="shared" si="2"/>
        <v>0</v>
      </c>
      <c r="J31" s="30">
        <f t="shared" si="2"/>
        <v>0</v>
      </c>
      <c r="Q31" s="1"/>
    </row>
    <row r="32" spans="2:17" ht="17" thickTop="1" x14ac:dyDescent="0.2">
      <c r="C32" s="1"/>
      <c r="D32" s="1"/>
      <c r="E32" s="1"/>
      <c r="F32" s="1"/>
      <c r="H32" s="7"/>
      <c r="I32" s="7"/>
      <c r="J32" s="7"/>
      <c r="Q32" s="1"/>
    </row>
    <row r="33" spans="2:17" ht="17" thickBot="1" x14ac:dyDescent="0.25">
      <c r="B33" s="10" t="s">
        <v>19</v>
      </c>
      <c r="C33" s="1"/>
      <c r="D33" s="1"/>
      <c r="E33" s="1"/>
      <c r="F33" s="1"/>
      <c r="H33" s="7"/>
      <c r="I33" s="7"/>
      <c r="J33" s="7"/>
      <c r="O33" s="251"/>
      <c r="Q33" s="1"/>
    </row>
    <row r="34" spans="2:17" ht="16" x14ac:dyDescent="0.2">
      <c r="B34" s="17" t="s">
        <v>43</v>
      </c>
      <c r="C34" s="1"/>
      <c r="D34" s="1"/>
      <c r="E34" s="1"/>
      <c r="F34" s="1"/>
      <c r="H34" s="7"/>
      <c r="I34" s="7"/>
      <c r="J34" s="7"/>
      <c r="Q34" s="1"/>
    </row>
    <row r="35" spans="2:17" ht="16" x14ac:dyDescent="0.2">
      <c r="B35" s="17" t="s">
        <v>44</v>
      </c>
      <c r="C35" s="1"/>
      <c r="D35" s="1"/>
      <c r="E35" s="1"/>
      <c r="F35" s="1"/>
      <c r="H35" s="7"/>
      <c r="I35" s="7"/>
      <c r="J35" s="7"/>
      <c r="Q35" s="1"/>
    </row>
    <row r="36" spans="2:17" x14ac:dyDescent="0.15">
      <c r="B36" s="15" t="s">
        <v>45</v>
      </c>
      <c r="C36" s="240">
        <f>'Balance Sheet'!C36/'Balance Sheet'!$C$31</f>
        <v>2.2747702623875689E-3</v>
      </c>
      <c r="D36" s="240">
        <f>'Balance Sheet'!D36/'Balance Sheet'!$D$31</f>
        <v>2.1371294170950367E-3</v>
      </c>
      <c r="E36" s="240">
        <f>'Balance Sheet'!E36/'Balance Sheet'!$E$31</f>
        <v>2.0271604743207906E-3</v>
      </c>
      <c r="F36" s="240">
        <f>'Balance Sheet'!F36/'Balance Sheet'!$F$31</f>
        <v>1.9907923912318242E-3</v>
      </c>
      <c r="H36" s="29">
        <f t="shared" ref="H36:J43" si="3">D36/C36-1</f>
        <v>-6.0507580729522226E-2</v>
      </c>
      <c r="I36" s="29">
        <f t="shared" si="3"/>
        <v>-5.1456379709435174E-2</v>
      </c>
      <c r="J36" s="29">
        <f t="shared" si="3"/>
        <v>-1.7940406568528688E-2</v>
      </c>
    </row>
    <row r="37" spans="2:17" x14ac:dyDescent="0.15">
      <c r="B37" s="15" t="s">
        <v>46</v>
      </c>
      <c r="C37" s="240">
        <f>'Balance Sheet'!C37/'Balance Sheet'!$C$31</f>
        <v>2.579905073110017E-2</v>
      </c>
      <c r="D37" s="240">
        <f>'Balance Sheet'!D37/'Balance Sheet'!$D$31</f>
        <v>2.4238012586243082E-2</v>
      </c>
      <c r="E37" s="240">
        <f>'Balance Sheet'!E37/'Balance Sheet'!$E$31</f>
        <v>2.2990812207203292E-2</v>
      </c>
      <c r="F37" s="240">
        <f>'Balance Sheet'!F37/'Balance Sheet'!$F$31</f>
        <v>2.2578347688865373E-2</v>
      </c>
      <c r="H37" s="29">
        <f t="shared" si="3"/>
        <v>-6.0507580729522448E-2</v>
      </c>
      <c r="I37" s="29">
        <f t="shared" si="3"/>
        <v>-5.1456379709435063E-2</v>
      </c>
      <c r="J37" s="29">
        <f t="shared" si="3"/>
        <v>-1.7940406568528688E-2</v>
      </c>
    </row>
    <row r="38" spans="2:17" x14ac:dyDescent="0.15">
      <c r="B38" s="15" t="s">
        <v>47</v>
      </c>
      <c r="C38" s="240">
        <f>'Balance Sheet'!C38/'Balance Sheet'!$C$31</f>
        <v>0.24338446099646641</v>
      </c>
      <c r="D38" s="240">
        <f>'Balance Sheet'!D38/'Balance Sheet'!$D$31</f>
        <v>0.24624461553324961</v>
      </c>
      <c r="E38" s="240">
        <f>'Balance Sheet'!E38/'Balance Sheet'!$E$31</f>
        <v>0.24510787558954344</v>
      </c>
      <c r="F38" s="240">
        <f>'Balance Sheet'!F38/'Balance Sheet'!$F$31</f>
        <v>0.25037278867653423</v>
      </c>
      <c r="H38" s="29">
        <f t="shared" si="3"/>
        <v>1.1751590570216131E-2</v>
      </c>
      <c r="I38" s="29">
        <f t="shared" si="3"/>
        <v>-4.6163037565086773E-3</v>
      </c>
      <c r="J38" s="29">
        <f t="shared" si="3"/>
        <v>2.1479983351524012E-2</v>
      </c>
    </row>
    <row r="39" spans="2:17" x14ac:dyDescent="0.15">
      <c r="B39" s="15" t="s">
        <v>48</v>
      </c>
      <c r="C39" s="240">
        <f>'Balance Sheet'!C39/'Balance Sheet'!$C$31</f>
        <v>-3.2818392483861189E-3</v>
      </c>
      <c r="D39" s="240">
        <f>'Balance Sheet'!D39/'Balance Sheet'!$D$31</f>
        <v>-5.2054009574606305E-3</v>
      </c>
      <c r="E39" s="240">
        <f>'Balance Sheet'!E39/'Balance Sheet'!$E$31</f>
        <v>-4.0448408528926142E-3</v>
      </c>
      <c r="F39" s="240">
        <f>'Balance Sheet'!F39/'Balance Sheet'!$F$31</f>
        <v>-4.9498267560635374E-3</v>
      </c>
      <c r="H39" s="29">
        <f t="shared" si="3"/>
        <v>0.58612307413303211</v>
      </c>
      <c r="I39" s="29">
        <f t="shared" si="3"/>
        <v>-0.22295306625796918</v>
      </c>
      <c r="J39" s="29">
        <f t="shared" si="3"/>
        <v>0.22373832150249728</v>
      </c>
    </row>
    <row r="40" spans="2:17" ht="14" thickBot="1" x14ac:dyDescent="0.2">
      <c r="B40" s="15" t="s">
        <v>49</v>
      </c>
      <c r="C40" s="240">
        <f>'Balance Sheet'!C40/'Balance Sheet'!$C$31</f>
        <v>2.5036656956488591E-2</v>
      </c>
      <c r="D40" s="240">
        <f>'Balance Sheet'!D40/'Balance Sheet'!$D$31</f>
        <v>2.5244112483301075E-2</v>
      </c>
      <c r="E40" s="240">
        <f>'Balance Sheet'!E40/'Balance Sheet'!$E$31</f>
        <v>2.1946421658858753E-2</v>
      </c>
      <c r="F40" s="240">
        <f>'Balance Sheet'!F40/'Balance Sheet'!$F$31</f>
        <v>2.2150086815926961E-2</v>
      </c>
      <c r="H40" s="29">
        <f t="shared" si="3"/>
        <v>8.2860713861687696E-3</v>
      </c>
      <c r="I40" s="29">
        <f t="shared" si="3"/>
        <v>-0.13063207615731143</v>
      </c>
      <c r="J40" s="29">
        <f t="shared" si="3"/>
        <v>9.2801077202486759E-3</v>
      </c>
    </row>
    <row r="41" spans="2:17" x14ac:dyDescent="0.15">
      <c r="B41" s="18" t="s">
        <v>50</v>
      </c>
      <c r="C41" s="96">
        <f>'Balance Sheet'!C41/'Balance Sheet'!$C$31</f>
        <v>0.29321309969805659</v>
      </c>
      <c r="D41" s="96">
        <f>'Balance Sheet'!D41/'Balance Sheet'!$D$31</f>
        <v>0.29265846906242815</v>
      </c>
      <c r="E41" s="96">
        <f>'Balance Sheet'!E41/'Balance Sheet'!$E$31</f>
        <v>0.28802742907703366</v>
      </c>
      <c r="F41" s="96">
        <f>'Balance Sheet'!F41/'Balance Sheet'!$F$31</f>
        <v>0.29214374048632435</v>
      </c>
      <c r="H41" s="27">
        <f t="shared" si="3"/>
        <v>-1.8915615850709777E-3</v>
      </c>
      <c r="I41" s="27">
        <f t="shared" si="3"/>
        <v>-1.5824042270947025E-2</v>
      </c>
      <c r="J41" s="27">
        <f t="shared" si="3"/>
        <v>1.4291386839375475E-2</v>
      </c>
    </row>
    <row r="42" spans="2:17" ht="14" thickBot="1" x14ac:dyDescent="0.2">
      <c r="B42" s="15" t="s">
        <v>51</v>
      </c>
      <c r="C42" s="240">
        <f>'Balance Sheet'!C42/'Balance Sheet'!$C$31</f>
        <v>2.2964009694812E-2</v>
      </c>
      <c r="D42" s="240">
        <f>'Balance Sheet'!D42/'Balance Sheet'!$D$31</f>
        <v>2.3683325060216077E-2</v>
      </c>
      <c r="E42" s="240">
        <f>'Balance Sheet'!E42/'Balance Sheet'!$E$31</f>
        <v>2.2810690387972919E-2</v>
      </c>
      <c r="F42" s="240">
        <f>'Balance Sheet'!F42/'Balance Sheet'!$F$31</f>
        <v>2.2929025070329435E-2</v>
      </c>
      <c r="H42" s="29">
        <f t="shared" si="3"/>
        <v>3.1323596138638887E-2</v>
      </c>
      <c r="I42" s="29">
        <f t="shared" si="3"/>
        <v>-3.684595258581469E-2</v>
      </c>
      <c r="J42" s="29">
        <f t="shared" si="3"/>
        <v>5.1876852626480119E-3</v>
      </c>
    </row>
    <row r="43" spans="2:17" x14ac:dyDescent="0.15">
      <c r="B43" s="18" t="s">
        <v>68</v>
      </c>
      <c r="C43" s="96">
        <f>'Balance Sheet'!C43/'Balance Sheet'!$C$31</f>
        <v>0.31617710939286858</v>
      </c>
      <c r="D43" s="96">
        <f>'Balance Sheet'!D43/'Balance Sheet'!$D$31</f>
        <v>0.31634179412264424</v>
      </c>
      <c r="E43" s="96">
        <f>'Balance Sheet'!E43/'Balance Sheet'!$E$31</f>
        <v>0.31083811946500661</v>
      </c>
      <c r="F43" s="96">
        <f>'Balance Sheet'!F43/'Balance Sheet'!$F$31</f>
        <v>0.31507276555665381</v>
      </c>
      <c r="H43" s="27">
        <f t="shared" si="3"/>
        <v>5.2086227903047622E-4</v>
      </c>
      <c r="I43" s="27">
        <f t="shared" si="3"/>
        <v>-1.739787394486314E-2</v>
      </c>
      <c r="J43" s="27">
        <f t="shared" si="3"/>
        <v>1.3623316531883534E-2</v>
      </c>
    </row>
    <row r="44" spans="2:17" ht="16" x14ac:dyDescent="0.2">
      <c r="B44" s="1"/>
      <c r="C44" s="1"/>
      <c r="D44" s="1"/>
      <c r="E44" s="1"/>
      <c r="F44" s="1"/>
      <c r="H44" s="7"/>
      <c r="I44" s="7"/>
      <c r="J44" s="7"/>
    </row>
    <row r="45" spans="2:17" ht="16" x14ac:dyDescent="0.2">
      <c r="B45" s="17" t="s">
        <v>52</v>
      </c>
      <c r="C45" s="1"/>
      <c r="D45" s="1"/>
      <c r="E45" s="1"/>
      <c r="F45" s="1"/>
      <c r="H45" s="7"/>
      <c r="I45" s="7"/>
      <c r="J45" s="7"/>
    </row>
    <row r="46" spans="2:17" x14ac:dyDescent="0.15">
      <c r="B46" s="15" t="s">
        <v>53</v>
      </c>
      <c r="C46" s="240">
        <f>'Balance Sheet'!C46/'Balance Sheet'!$C$31</f>
        <v>0.21584076962765042</v>
      </c>
      <c r="D46" s="240">
        <f>'Balance Sheet'!D46/'Balance Sheet'!$D$31</f>
        <v>0.20375688362222616</v>
      </c>
      <c r="E46" s="240">
        <f>'Balance Sheet'!E46/'Balance Sheet'!$E$31</f>
        <v>0.21655856724152914</v>
      </c>
      <c r="F46" s="240">
        <f>'Balance Sheet'!F46/'Balance Sheet'!$F$31</f>
        <v>0.21291082398322955</v>
      </c>
      <c r="H46" s="29">
        <f t="shared" ref="H46:J53" si="4">D46/C46-1</f>
        <v>-5.5985187720884788E-2</v>
      </c>
      <c r="I46" s="29">
        <f t="shared" si="4"/>
        <v>6.282822642221908E-2</v>
      </c>
      <c r="J46" s="29">
        <f t="shared" si="4"/>
        <v>-1.6844142001693374E-2</v>
      </c>
    </row>
    <row r="47" spans="2:17" x14ac:dyDescent="0.15">
      <c r="B47" s="15" t="s">
        <v>54</v>
      </c>
      <c r="C47" s="240">
        <f>'Balance Sheet'!C47/'Balance Sheet'!$C$31</f>
        <v>1.451739587562698E-2</v>
      </c>
      <c r="D47" s="240">
        <f>'Balance Sheet'!D47/'Balance Sheet'!$D$31</f>
        <v>1.1606794838907416E-2</v>
      </c>
      <c r="E47" s="240">
        <f>'Balance Sheet'!E47/'Balance Sheet'!$E$31</f>
        <v>1.034594449403939E-2</v>
      </c>
      <c r="F47" s="240">
        <f>'Balance Sheet'!F47/'Balance Sheet'!$F$31</f>
        <v>9.96482364496553E-3</v>
      </c>
      <c r="H47" s="29">
        <f t="shared" si="4"/>
        <v>-0.20049057431891937</v>
      </c>
      <c r="I47" s="29">
        <f t="shared" si="4"/>
        <v>-0.10863036371087553</v>
      </c>
      <c r="J47" s="29">
        <f t="shared" si="4"/>
        <v>-3.683770479277515E-2</v>
      </c>
    </row>
    <row r="48" spans="2:17" x14ac:dyDescent="0.15">
      <c r="B48" s="15" t="s">
        <v>55</v>
      </c>
      <c r="C48" s="240">
        <f>'Balance Sheet'!C48/'Balance Sheet'!$C$31</f>
        <v>1.6212392267554117E-2</v>
      </c>
      <c r="D48" s="240">
        <f>'Balance Sheet'!D48/'Balance Sheet'!$D$31</f>
        <v>1.6465724308639466E-2</v>
      </c>
      <c r="E48" s="240">
        <f>'Balance Sheet'!E48/'Balance Sheet'!$E$31</f>
        <v>1.6722888901177901E-2</v>
      </c>
      <c r="F48" s="240">
        <f>'Balance Sheet'!F48/'Balance Sheet'!$F$31</f>
        <v>1.7720069452741568E-2</v>
      </c>
      <c r="H48" s="29">
        <f t="shared" si="4"/>
        <v>1.562582726254047E-2</v>
      </c>
      <c r="I48" s="29">
        <f t="shared" si="4"/>
        <v>1.5618176748137591E-2</v>
      </c>
      <c r="J48" s="29">
        <f t="shared" si="4"/>
        <v>5.9629682255045502E-2</v>
      </c>
    </row>
    <row r="49" spans="2:10" x14ac:dyDescent="0.15">
      <c r="B49" s="15" t="s">
        <v>56</v>
      </c>
      <c r="C49" s="240">
        <f>'Balance Sheet'!C49/'Balance Sheet'!$C$31</f>
        <v>1.9035022242395123E-2</v>
      </c>
      <c r="D49" s="240">
        <f>'Balance Sheet'!D49/'Balance Sheet'!$D$31</f>
        <v>1.6292488564775175E-2</v>
      </c>
      <c r="E49" s="240">
        <f>'Balance Sheet'!E49/'Balance Sheet'!$E$31</f>
        <v>1.7222173943956833E-2</v>
      </c>
      <c r="F49" s="240">
        <f>'Balance Sheet'!F49/'Balance Sheet'!$F$31</f>
        <v>1.5459286511179005E-2</v>
      </c>
      <c r="H49" s="29">
        <f t="shared" si="4"/>
        <v>-0.14407830170598546</v>
      </c>
      <c r="I49" s="29">
        <f t="shared" si="4"/>
        <v>5.7062208482482113E-2</v>
      </c>
      <c r="J49" s="29">
        <f t="shared" si="4"/>
        <v>-0.10236149271947259</v>
      </c>
    </row>
    <row r="50" spans="2:10" x14ac:dyDescent="0.15">
      <c r="B50" s="15" t="s">
        <v>57</v>
      </c>
      <c r="C50" s="240">
        <f>'Balance Sheet'!C50/'Balance Sheet'!$C$31</f>
        <v>4.8851710864820493E-2</v>
      </c>
      <c r="D50" s="240">
        <f>'Balance Sheet'!D50/'Balance Sheet'!$D$31</f>
        <v>4.9425490307126986E-2</v>
      </c>
      <c r="E50" s="240">
        <f>'Balance Sheet'!E50/'Balance Sheet'!$E$31</f>
        <v>4.3611600477164822E-2</v>
      </c>
      <c r="F50" s="240">
        <f>'Balance Sheet'!F50/'Balance Sheet'!$F$31</f>
        <v>3.5418415527870319E-2</v>
      </c>
      <c r="H50" s="29">
        <f t="shared" si="4"/>
        <v>1.1745329531942517E-2</v>
      </c>
      <c r="I50" s="29">
        <f t="shared" si="4"/>
        <v>-0.11762938099015319</v>
      </c>
      <c r="J50" s="29">
        <f t="shared" si="4"/>
        <v>-0.18786710094678782</v>
      </c>
    </row>
    <row r="51" spans="2:10" x14ac:dyDescent="0.15">
      <c r="B51" s="15" t="s">
        <v>58</v>
      </c>
      <c r="C51" s="240">
        <f>'Balance Sheet'!C51/'Balance Sheet'!$C$31</f>
        <v>7.6593979216791098E-3</v>
      </c>
      <c r="D51" s="240">
        <f>'Balance Sheet'!D51/'Balance Sheet'!$D$31</f>
        <v>7.1409772494827909E-3</v>
      </c>
      <c r="E51" s="240">
        <f>'Balance Sheet'!E51/'Balance Sheet'!$E$31</f>
        <v>6.4527851731302488E-3</v>
      </c>
      <c r="F51" s="240">
        <f>'Balance Sheet'!F51/'Balance Sheet'!$F$31</f>
        <v>5.2244723158827375E-3</v>
      </c>
      <c r="H51" s="29">
        <f t="shared" si="4"/>
        <v>-6.7684258932283026E-2</v>
      </c>
      <c r="I51" s="29">
        <f t="shared" si="4"/>
        <v>-9.6372254428115811E-2</v>
      </c>
      <c r="J51" s="29">
        <f t="shared" si="4"/>
        <v>-0.19035390521945061</v>
      </c>
    </row>
    <row r="52" spans="2:10" ht="14" thickBot="1" x14ac:dyDescent="0.2">
      <c r="B52" s="15" t="s">
        <v>59</v>
      </c>
      <c r="C52" s="240">
        <f>'Balance Sheet'!C52/'Balance Sheet'!$C$31</f>
        <v>3.7734945825716786E-2</v>
      </c>
      <c r="D52" s="240">
        <f>'Balance Sheet'!D52/'Balance Sheet'!$D$31</f>
        <v>3.6039697636997825E-2</v>
      </c>
      <c r="E52" s="240">
        <f>'Balance Sheet'!E52/'Balance Sheet'!$E$31</f>
        <v>3.5321256744693122E-2</v>
      </c>
      <c r="F52" s="240">
        <f>'Balance Sheet'!F52/'Balance Sheet'!$F$31</f>
        <v>3.6737334882934271E-2</v>
      </c>
      <c r="H52" s="29">
        <f t="shared" si="4"/>
        <v>-4.4925152312359495E-2</v>
      </c>
      <c r="I52" s="29">
        <f t="shared" si="4"/>
        <v>-1.9934709207081736E-2</v>
      </c>
      <c r="J52" s="29">
        <f t="shared" si="4"/>
        <v>4.0091386002393925E-2</v>
      </c>
    </row>
    <row r="53" spans="2:10" x14ac:dyDescent="0.15">
      <c r="B53" s="18" t="s">
        <v>67</v>
      </c>
      <c r="C53" s="96">
        <f>'Balance Sheet'!C53/'Balance Sheet'!$C$31</f>
        <v>0.35985163462544301</v>
      </c>
      <c r="D53" s="96">
        <f>'Balance Sheet'!D53/'Balance Sheet'!$D$31</f>
        <v>0.3407280565281558</v>
      </c>
      <c r="E53" s="96">
        <f>'Balance Sheet'!E53/'Balance Sheet'!$E$31</f>
        <v>0.34623521697569143</v>
      </c>
      <c r="F53" s="96">
        <f>'Balance Sheet'!F53/'Balance Sheet'!$F$31</f>
        <v>0.3334336746489735</v>
      </c>
      <c r="H53" s="27">
        <f t="shared" si="4"/>
        <v>-5.3142951864571297E-2</v>
      </c>
      <c r="I53" s="27">
        <f t="shared" si="4"/>
        <v>1.6162920376005419E-2</v>
      </c>
      <c r="J53" s="27">
        <f t="shared" si="4"/>
        <v>-3.697354197108349E-2</v>
      </c>
    </row>
    <row r="54" spans="2:10" ht="16" x14ac:dyDescent="0.2">
      <c r="B54"/>
      <c r="C54" s="1"/>
      <c r="D54" s="1"/>
      <c r="E54" s="1"/>
      <c r="F54" s="1"/>
      <c r="H54" s="7"/>
      <c r="I54" s="7"/>
      <c r="J54" s="7"/>
    </row>
    <row r="55" spans="2:10" ht="16" x14ac:dyDescent="0.2">
      <c r="B55" s="17" t="s">
        <v>60</v>
      </c>
      <c r="C55" s="1"/>
      <c r="D55" s="1"/>
      <c r="E55" s="1"/>
      <c r="F55" s="1"/>
      <c r="H55" s="7"/>
      <c r="I55" s="7"/>
      <c r="J55" s="7"/>
    </row>
    <row r="56" spans="2:10" x14ac:dyDescent="0.15">
      <c r="B56" s="15" t="s">
        <v>53</v>
      </c>
      <c r="C56" s="240">
        <f>'Balance Sheet'!C56/'Balance Sheet'!$C$31</f>
        <v>0.14795403652043482</v>
      </c>
      <c r="D56" s="240">
        <f>'Balance Sheet'!D56/'Balance Sheet'!$D$31</f>
        <v>0.18402300037645461</v>
      </c>
      <c r="E56" s="240">
        <f>'Balance Sheet'!E56/'Balance Sheet'!$E$31</f>
        <v>0.18489346742402099</v>
      </c>
      <c r="F56" s="240">
        <f>'Balance Sheet'!F56/'Balance Sheet'!$F$31</f>
        <v>0.19782083489146846</v>
      </c>
      <c r="H56" s="29">
        <f t="shared" ref="H56:J68" si="5">D56/C56-1</f>
        <v>0.24378492607762059</v>
      </c>
      <c r="I56" s="29">
        <f t="shared" si="5"/>
        <v>4.7302078858928454E-3</v>
      </c>
      <c r="J56" s="29">
        <f t="shared" si="5"/>
        <v>6.9917924346136084E-2</v>
      </c>
    </row>
    <row r="57" spans="2:10" x14ac:dyDescent="0.15">
      <c r="B57" s="15" t="s">
        <v>61</v>
      </c>
      <c r="C57" s="240">
        <f>'Balance Sheet'!C57/'Balance Sheet'!$C$31</f>
        <v>5.0952726266947745E-2</v>
      </c>
      <c r="D57" s="240">
        <f>'Balance Sheet'!D57/'Balance Sheet'!$D$31</f>
        <v>5.14726703956771E-2</v>
      </c>
      <c r="E57" s="240">
        <f>'Balance Sheet'!E57/'Balance Sheet'!$E$31</f>
        <v>4.7040235106374576E-2</v>
      </c>
      <c r="F57" s="240">
        <f>'Balance Sheet'!F57/'Balance Sheet'!$F$31</f>
        <v>4.7310413101058706E-2</v>
      </c>
      <c r="H57" s="29">
        <f t="shared" si="5"/>
        <v>1.0204441780117923E-2</v>
      </c>
      <c r="I57" s="29">
        <f t="shared" si="5"/>
        <v>-8.6112402081139794E-2</v>
      </c>
      <c r="J57" s="29">
        <f t="shared" si="5"/>
        <v>5.7435511126413541E-3</v>
      </c>
    </row>
    <row r="58" spans="2:10" x14ac:dyDescent="0.15">
      <c r="B58" s="15" t="s">
        <v>62</v>
      </c>
      <c r="C58" s="240">
        <f>'Balance Sheet'!C58/'Balance Sheet'!$C$31</f>
        <v>1.2872043729488505E-3</v>
      </c>
      <c r="D58" s="240">
        <f>'Balance Sheet'!D58/'Balance Sheet'!$D$31</f>
        <v>9.2614493835139534E-4</v>
      </c>
      <c r="E58" s="240">
        <f>'Balance Sheet'!E58/'Balance Sheet'!$E$31</f>
        <v>1.1439315537086926E-3</v>
      </c>
      <c r="F58" s="240">
        <f>'Balance Sheet'!F58/'Balance Sheet'!$F$31</f>
        <v>7.7117990525504018E-4</v>
      </c>
      <c r="H58" s="29">
        <f t="shared" si="5"/>
        <v>-0.28049891857522657</v>
      </c>
      <c r="I58" s="29">
        <f t="shared" si="5"/>
        <v>0.23515392282440484</v>
      </c>
      <c r="J58" s="29">
        <f t="shared" si="5"/>
        <v>-0.32585135644276086</v>
      </c>
    </row>
    <row r="59" spans="2:10" x14ac:dyDescent="0.15">
      <c r="B59" s="15" t="s">
        <v>54</v>
      </c>
      <c r="C59" s="240">
        <f>'Balance Sheet'!C59/'Balance Sheet'!$C$31</f>
        <v>3.5117984869143089E-2</v>
      </c>
      <c r="D59" s="240">
        <f>'Balance Sheet'!D59/'Balance Sheet'!$D$31</f>
        <v>2.3356842312164148E-2</v>
      </c>
      <c r="E59" s="240">
        <f>'Balance Sheet'!E59/'Balance Sheet'!$E$31</f>
        <v>2.2695349223027152E-2</v>
      </c>
      <c r="F59" s="240">
        <f>'Balance Sheet'!F59/'Balance Sheet'!$F$31</f>
        <v>2.1169431483691173E-2</v>
      </c>
      <c r="H59" s="29">
        <f t="shared" si="5"/>
        <v>-0.33490368541371041</v>
      </c>
      <c r="I59" s="29">
        <f t="shared" si="5"/>
        <v>-2.832116945844565E-2</v>
      </c>
      <c r="J59" s="29">
        <f t="shared" si="5"/>
        <v>-6.7234820858704913E-2</v>
      </c>
    </row>
    <row r="60" spans="2:10" x14ac:dyDescent="0.15">
      <c r="B60" s="15" t="s">
        <v>55</v>
      </c>
      <c r="C60" s="240">
        <f>'Balance Sheet'!C60/'Balance Sheet'!$C$31</f>
        <v>4.0185243957142833E-2</v>
      </c>
      <c r="D60" s="240">
        <f>'Balance Sheet'!D60/'Balance Sheet'!$D$31</f>
        <v>4.0552155619001294E-2</v>
      </c>
      <c r="E60" s="240">
        <f>'Balance Sheet'!E60/'Balance Sheet'!$E$31</f>
        <v>3.9108554996405462E-2</v>
      </c>
      <c r="F60" s="240">
        <f>'Balance Sheet'!F60/'Balance Sheet'!$F$31</f>
        <v>3.7902638924879009E-2</v>
      </c>
      <c r="H60" s="29">
        <f t="shared" si="5"/>
        <v>9.1305072640537333E-3</v>
      </c>
      <c r="I60" s="29">
        <f t="shared" si="5"/>
        <v>-3.55986161662738E-2</v>
      </c>
      <c r="J60" s="29">
        <f t="shared" si="5"/>
        <v>-3.0835096608332613E-2</v>
      </c>
    </row>
    <row r="61" spans="2:10" x14ac:dyDescent="0.15">
      <c r="B61" s="15" t="s">
        <v>58</v>
      </c>
      <c r="C61" s="240">
        <f>'Balance Sheet'!C61/'Balance Sheet'!$C$31</f>
        <v>4.5850007003384674E-3</v>
      </c>
      <c r="D61" s="240">
        <f>'Balance Sheet'!D61/'Balance Sheet'!$D$31</f>
        <v>2.7701061735222491E-3</v>
      </c>
      <c r="E61" s="240">
        <f>'Balance Sheet'!E61/'Balance Sheet'!$E$31</f>
        <v>2.6828670969576791E-3</v>
      </c>
      <c r="F61" s="240">
        <f>'Balance Sheet'!F61/'Balance Sheet'!$F$31</f>
        <v>3.0816162813611866E-3</v>
      </c>
      <c r="H61" s="29">
        <f t="shared" si="5"/>
        <v>-0.39583298791693566</v>
      </c>
      <c r="I61" s="29">
        <f t="shared" si="5"/>
        <v>-3.1493044345532684E-2</v>
      </c>
      <c r="J61" s="29">
        <f t="shared" si="5"/>
        <v>0.14862800503822249</v>
      </c>
    </row>
    <row r="62" spans="2:10" x14ac:dyDescent="0.15">
      <c r="B62" s="15" t="s">
        <v>59</v>
      </c>
      <c r="C62" s="240">
        <f>'Balance Sheet'!C62/'Balance Sheet'!$C$31</f>
        <v>4.3608923907782267E-2</v>
      </c>
      <c r="D62" s="240">
        <f>'Balance Sheet'!D62/'Balance Sheet'!$D$31</f>
        <v>3.9779257684837539E-2</v>
      </c>
      <c r="E62" s="240">
        <f>'Balance Sheet'!E62/'Balance Sheet'!$E$31</f>
        <v>4.5360678142849241E-2</v>
      </c>
      <c r="F62" s="240">
        <f>'Balance Sheet'!F62/'Balance Sheet'!$F$31</f>
        <v>4.343589353682966E-2</v>
      </c>
      <c r="H62" s="29">
        <f t="shared" si="5"/>
        <v>-8.7818406871106092E-2</v>
      </c>
      <c r="I62" s="29">
        <f t="shared" si="5"/>
        <v>0.14030981930915076</v>
      </c>
      <c r="J62" s="29">
        <f t="shared" si="5"/>
        <v>-4.2432888678561542E-2</v>
      </c>
    </row>
    <row r="63" spans="2:10" ht="14" thickBot="1" x14ac:dyDescent="0.2">
      <c r="B63" s="15" t="s">
        <v>63</v>
      </c>
      <c r="C63" s="240">
        <f>'Balance Sheet'!C63/'Balance Sheet'!$C$31</f>
        <v>2.8013538695030078E-4</v>
      </c>
      <c r="D63" s="240">
        <f>'Balance Sheet'!D63/'Balance Sheet'!$D$31</f>
        <v>5.1637577498009456E-5</v>
      </c>
      <c r="E63" s="250" t="s">
        <v>116</v>
      </c>
      <c r="F63" s="250" t="s">
        <v>116</v>
      </c>
      <c r="H63" s="29">
        <f t="shared" si="5"/>
        <v>-0.81566920887731131</v>
      </c>
      <c r="I63" s="43" t="s">
        <v>116</v>
      </c>
      <c r="J63" s="43" t="s">
        <v>116</v>
      </c>
    </row>
    <row r="64" spans="2:10" x14ac:dyDescent="0.15">
      <c r="B64" s="18" t="s">
        <v>66</v>
      </c>
      <c r="C64" s="96">
        <f>'Balance Sheet'!C64/'Balance Sheet'!$C$31</f>
        <v>0.32396948297291017</v>
      </c>
      <c r="D64" s="96">
        <f>'Balance Sheet'!D64/'Balance Sheet'!$D$31</f>
        <v>0.34293014934919996</v>
      </c>
      <c r="E64" s="96">
        <f>'Balance Sheet'!E64/'Balance Sheet'!$E$31</f>
        <v>0.34292508354334378</v>
      </c>
      <c r="F64" s="96">
        <f>'Balance Sheet'!F64/'Balance Sheet'!$F$31</f>
        <v>0.35149200812454323</v>
      </c>
      <c r="H64" s="27">
        <f t="shared" si="5"/>
        <v>5.8526087711401109E-2</v>
      </c>
      <c r="I64" s="27">
        <f t="shared" si="5"/>
        <v>-1.4772121569972541E-5</v>
      </c>
      <c r="J64" s="27">
        <f t="shared" si="5"/>
        <v>2.4981912937601214E-2</v>
      </c>
    </row>
    <row r="65" spans="2:10" ht="17" thickBot="1" x14ac:dyDescent="0.25">
      <c r="B65" s="7"/>
      <c r="C65" s="249"/>
      <c r="D65" s="249"/>
      <c r="E65" s="249"/>
      <c r="F65" s="249"/>
      <c r="H65" s="7"/>
      <c r="I65" s="7"/>
      <c r="J65" s="7"/>
    </row>
    <row r="66" spans="2:10" x14ac:dyDescent="0.15">
      <c r="B66" s="18" t="s">
        <v>65</v>
      </c>
      <c r="C66" s="96">
        <f>'Balance Sheet'!C66/'Balance Sheet'!$C$31</f>
        <v>0.68382289060713142</v>
      </c>
      <c r="D66" s="96">
        <f>'Balance Sheet'!D66/'Balance Sheet'!$D$31</f>
        <v>0.68365820587735571</v>
      </c>
      <c r="E66" s="96">
        <f>'Balance Sheet'!E66/'Balance Sheet'!$E$31</f>
        <v>0.68916188053499339</v>
      </c>
      <c r="F66" s="96">
        <f>'Balance Sheet'!F66/'Balance Sheet'!$F$31</f>
        <v>0.68492723444334624</v>
      </c>
      <c r="H66" s="27">
        <f t="shared" si="5"/>
        <v>-2.4082950722736918E-4</v>
      </c>
      <c r="I66" s="27">
        <f t="shared" si="5"/>
        <v>8.0503307212917985E-3</v>
      </c>
      <c r="J66" s="27">
        <f t="shared" si="5"/>
        <v>-6.1446319235761715E-3</v>
      </c>
    </row>
    <row r="67" spans="2:10" ht="17" thickBot="1" x14ac:dyDescent="0.25">
      <c r="B67" s="7"/>
      <c r="C67" s="1"/>
      <c r="D67" s="1"/>
      <c r="E67" s="1"/>
      <c r="F67" s="1"/>
      <c r="H67" s="7"/>
      <c r="I67" s="7"/>
      <c r="J67" s="7"/>
    </row>
    <row r="68" spans="2:10" ht="14" thickBot="1" x14ac:dyDescent="0.2">
      <c r="B68" s="8" t="s">
        <v>64</v>
      </c>
      <c r="C68" s="241">
        <f>'Balance Sheet'!C68/'Balance Sheet'!$C$31</f>
        <v>1</v>
      </c>
      <c r="D68" s="241">
        <f>'Balance Sheet'!D68/'Balance Sheet'!$D$31</f>
        <v>1</v>
      </c>
      <c r="E68" s="241">
        <f>'Balance Sheet'!E68/'Balance Sheet'!$E$31</f>
        <v>1</v>
      </c>
      <c r="F68" s="241">
        <f>'Balance Sheet'!F68/'Balance Sheet'!$F$31</f>
        <v>1</v>
      </c>
      <c r="H68" s="30">
        <f t="shared" si="5"/>
        <v>0</v>
      </c>
      <c r="I68" s="30">
        <f t="shared" si="5"/>
        <v>0</v>
      </c>
      <c r="J68" s="30">
        <f t="shared" si="5"/>
        <v>0</v>
      </c>
    </row>
    <row r="69" spans="2:10" ht="14" thickTop="1" x14ac:dyDescent="0.15"/>
  </sheetData>
  <conditionalFormatting sqref="H6:J68">
    <cfRule type="iconSet" priority="1">
      <iconSet>
        <cfvo type="percent" val="0"/>
        <cfvo type="num" val="-0.1"/>
        <cfvo type="num" val="0.1"/>
      </iconSet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6927-5693-B240-9540-7092BFB5FB02}">
  <dimension ref="B1:J49"/>
  <sheetViews>
    <sheetView zoomScale="184" workbookViewId="0"/>
  </sheetViews>
  <sheetFormatPr baseColWidth="10" defaultRowHeight="12" x14ac:dyDescent="0.15"/>
  <cols>
    <col min="1" max="1" width="2.1640625" style="7" customWidth="1"/>
    <col min="2" max="2" width="52" style="7" bestFit="1" customWidth="1"/>
    <col min="3" max="4" width="8.83203125" style="7" bestFit="1" customWidth="1"/>
    <col min="5" max="5" width="8.6640625" style="7" bestFit="1" customWidth="1"/>
    <col min="6" max="6" width="8.1640625" style="7" bestFit="1" customWidth="1"/>
    <col min="7" max="7" width="2.1640625" style="7" customWidth="1"/>
    <col min="8" max="16384" width="10.83203125" style="7"/>
  </cols>
  <sheetData>
    <row r="1" spans="2:10" x14ac:dyDescent="0.15">
      <c r="B1" s="32" t="s">
        <v>72</v>
      </c>
    </row>
    <row r="3" spans="2:10" ht="15" thickBot="1" x14ac:dyDescent="0.2">
      <c r="B3" s="34" t="s">
        <v>19</v>
      </c>
      <c r="C3" s="34">
        <v>2022</v>
      </c>
      <c r="D3" s="34">
        <v>2023</v>
      </c>
      <c r="E3" s="34">
        <v>2024</v>
      </c>
      <c r="F3" s="34">
        <v>2025</v>
      </c>
      <c r="H3" s="11" t="s">
        <v>20</v>
      </c>
      <c r="I3" s="28" t="s">
        <v>21</v>
      </c>
      <c r="J3" s="28" t="s">
        <v>22</v>
      </c>
    </row>
    <row r="4" spans="2:10" ht="13" x14ac:dyDescent="0.15">
      <c r="B4" s="17" t="s">
        <v>73</v>
      </c>
      <c r="C4" s="40">
        <v>39123</v>
      </c>
      <c r="D4" s="40">
        <v>29738</v>
      </c>
      <c r="E4" s="40">
        <v>43522</v>
      </c>
      <c r="F4" s="40">
        <v>40296</v>
      </c>
      <c r="G4" s="33"/>
      <c r="H4" s="42">
        <f>D4/C4-1</f>
        <v>-0.23988446693760701</v>
      </c>
      <c r="I4" s="42">
        <f t="shared" ref="I4:J4" si="0">E4/D4-1</f>
        <v>0.46351469500302644</v>
      </c>
      <c r="J4" s="42">
        <f t="shared" si="0"/>
        <v>-7.412343182758141E-2</v>
      </c>
    </row>
    <row r="5" spans="2:10" x14ac:dyDescent="0.15">
      <c r="B5" s="35" t="s">
        <v>74</v>
      </c>
      <c r="C5" s="26">
        <v>22070</v>
      </c>
      <c r="D5" s="26">
        <v>23194</v>
      </c>
      <c r="E5" s="26">
        <v>16806</v>
      </c>
      <c r="F5" s="26">
        <v>9307</v>
      </c>
      <c r="G5" s="33"/>
      <c r="H5" s="29">
        <f t="shared" ref="H5:H48" si="1">D5/C5-1</f>
        <v>5.0928862709560541E-2</v>
      </c>
      <c r="I5" s="29">
        <f t="shared" ref="I5:I48" si="2">E5/D5-1</f>
        <v>-0.27541605587651974</v>
      </c>
      <c r="J5" s="29">
        <f t="shared" ref="J5:J48" si="3">F5/E5-1</f>
        <v>-0.44620968701654173</v>
      </c>
    </row>
    <row r="6" spans="2:10" x14ac:dyDescent="0.15">
      <c r="B6" s="35" t="s">
        <v>77</v>
      </c>
      <c r="C6" s="26">
        <v>-4416</v>
      </c>
      <c r="D6" s="26">
        <v>-7716</v>
      </c>
      <c r="E6" s="26">
        <v>-6187</v>
      </c>
      <c r="F6" s="26">
        <v>-5152</v>
      </c>
      <c r="G6" s="33"/>
      <c r="H6" s="29">
        <f t="shared" si="1"/>
        <v>0.74728260869565211</v>
      </c>
      <c r="I6" s="29">
        <f t="shared" si="2"/>
        <v>-0.19815966822187658</v>
      </c>
      <c r="J6" s="29">
        <f t="shared" si="3"/>
        <v>-0.16728624535315983</v>
      </c>
    </row>
    <row r="7" spans="2:10" ht="26" x14ac:dyDescent="0.15">
      <c r="B7" s="36" t="s">
        <v>75</v>
      </c>
      <c r="C7" s="26">
        <v>13364</v>
      </c>
      <c r="D7" s="26">
        <v>11727</v>
      </c>
      <c r="E7" s="26">
        <v>12858</v>
      </c>
      <c r="F7" s="26">
        <v>16866</v>
      </c>
      <c r="G7" s="33"/>
      <c r="H7" s="29">
        <f t="shared" si="1"/>
        <v>-0.12249326548937445</v>
      </c>
      <c r="I7" s="29">
        <f t="shared" si="2"/>
        <v>9.6444103351240651E-2</v>
      </c>
      <c r="J7" s="29">
        <f t="shared" si="3"/>
        <v>0.31171255249650032</v>
      </c>
    </row>
    <row r="8" spans="2:10" x14ac:dyDescent="0.15">
      <c r="B8" s="35" t="s">
        <v>78</v>
      </c>
      <c r="C8" s="26">
        <v>5144</v>
      </c>
      <c r="D8" s="26">
        <v>5184</v>
      </c>
      <c r="E8" s="26">
        <v>7209</v>
      </c>
      <c r="F8" s="26">
        <v>8365</v>
      </c>
      <c r="G8" s="33"/>
      <c r="H8" s="29">
        <f t="shared" si="1"/>
        <v>7.7760497667185291E-3</v>
      </c>
      <c r="I8" s="29">
        <f t="shared" si="2"/>
        <v>0.390625</v>
      </c>
      <c r="J8" s="29">
        <f t="shared" si="3"/>
        <v>0.16035511166597316</v>
      </c>
    </row>
    <row r="9" spans="2:10" x14ac:dyDescent="0.15">
      <c r="B9" s="35" t="s">
        <v>79</v>
      </c>
      <c r="C9" s="26">
        <v>2185</v>
      </c>
      <c r="D9" s="26">
        <v>717</v>
      </c>
      <c r="E9" s="26">
        <v>710</v>
      </c>
      <c r="F9" s="26">
        <v>38</v>
      </c>
      <c r="G9" s="33"/>
      <c r="H9" s="29">
        <f t="shared" si="1"/>
        <v>-0.67185354691075516</v>
      </c>
      <c r="I9" s="29">
        <f t="shared" si="2"/>
        <v>-9.7629009762900676E-3</v>
      </c>
      <c r="J9" s="29">
        <f t="shared" si="3"/>
        <v>-0.94647887323943658</v>
      </c>
    </row>
    <row r="10" spans="2:10" x14ac:dyDescent="0.15">
      <c r="B10" s="35" t="s">
        <v>80</v>
      </c>
      <c r="C10" s="26">
        <v>9977</v>
      </c>
      <c r="D10" s="26">
        <v>10655</v>
      </c>
      <c r="E10" s="26">
        <v>11279</v>
      </c>
      <c r="F10" s="26">
        <v>12203</v>
      </c>
      <c r="G10" s="33"/>
      <c r="H10" s="29">
        <f t="shared" si="1"/>
        <v>6.7956299488824312E-2</v>
      </c>
      <c r="I10" s="29">
        <f t="shared" si="2"/>
        <v>5.8564054434537827E-2</v>
      </c>
      <c r="J10" s="29">
        <f t="shared" si="3"/>
        <v>8.1922156219522924E-2</v>
      </c>
    </row>
    <row r="11" spans="2:10" x14ac:dyDescent="0.15">
      <c r="B11" s="35" t="s">
        <v>81</v>
      </c>
      <c r="C11" s="26">
        <v>30</v>
      </c>
      <c r="D11" s="26">
        <v>208</v>
      </c>
      <c r="E11" s="26">
        <v>110</v>
      </c>
      <c r="F11" s="26">
        <v>-95</v>
      </c>
      <c r="G11" s="33"/>
      <c r="H11" s="29">
        <f t="shared" si="1"/>
        <v>5.9333333333333336</v>
      </c>
      <c r="I11" s="29">
        <f t="shared" si="2"/>
        <v>-0.47115384615384615</v>
      </c>
      <c r="J11" s="29">
        <f t="shared" si="3"/>
        <v>-1.8636363636363638</v>
      </c>
    </row>
    <row r="12" spans="2:10" x14ac:dyDescent="0.15">
      <c r="B12" s="35" t="s">
        <v>82</v>
      </c>
      <c r="C12" s="26">
        <v>568</v>
      </c>
      <c r="D12" s="26">
        <v>271</v>
      </c>
      <c r="E12" s="26">
        <v>2362</v>
      </c>
      <c r="F12" s="26">
        <v>968</v>
      </c>
      <c r="G12" s="33"/>
      <c r="H12" s="29">
        <f t="shared" si="1"/>
        <v>-0.522887323943662</v>
      </c>
      <c r="I12" s="29">
        <f t="shared" si="2"/>
        <v>7.7158671586715872</v>
      </c>
      <c r="J12" s="29">
        <f t="shared" si="3"/>
        <v>-0.59017781541066894</v>
      </c>
    </row>
    <row r="13" spans="2:10" x14ac:dyDescent="0.15">
      <c r="B13" s="35" t="s">
        <v>83</v>
      </c>
      <c r="C13" s="26">
        <v>-539</v>
      </c>
      <c r="D13" s="26">
        <v>3953</v>
      </c>
      <c r="E13" s="26">
        <v>903</v>
      </c>
      <c r="F13" s="26">
        <v>-946</v>
      </c>
      <c r="G13" s="33"/>
      <c r="H13" s="29">
        <f t="shared" si="1"/>
        <v>-8.333951762523192</v>
      </c>
      <c r="I13" s="29">
        <f t="shared" si="2"/>
        <v>-0.7715658993169745</v>
      </c>
      <c r="J13" s="29">
        <f t="shared" si="3"/>
        <v>-2.0476190476190474</v>
      </c>
    </row>
    <row r="14" spans="2:10" x14ac:dyDescent="0.15">
      <c r="B14" s="35" t="s">
        <v>84</v>
      </c>
      <c r="C14" s="26">
        <v>-8385</v>
      </c>
      <c r="D14" s="26">
        <v>-2071</v>
      </c>
      <c r="E14" s="26">
        <v>-2695</v>
      </c>
      <c r="F14" s="26">
        <v>-896</v>
      </c>
      <c r="G14" s="33"/>
      <c r="H14" s="29">
        <f t="shared" si="1"/>
        <v>-0.75301132975551577</v>
      </c>
      <c r="I14" s="29">
        <f t="shared" si="2"/>
        <v>0.30130371801062283</v>
      </c>
      <c r="J14" s="29">
        <f t="shared" si="3"/>
        <v>-0.66753246753246753</v>
      </c>
    </row>
    <row r="15" spans="2:10" x14ac:dyDescent="0.15">
      <c r="B15" s="35" t="s">
        <v>85</v>
      </c>
      <c r="C15" s="26">
        <v>-3065</v>
      </c>
      <c r="D15" s="26">
        <v>-4361</v>
      </c>
      <c r="E15" s="26">
        <v>-2083</v>
      </c>
      <c r="F15" s="26">
        <v>-211</v>
      </c>
      <c r="G15" s="33"/>
      <c r="H15" s="29">
        <f t="shared" si="1"/>
        <v>0.42283849918433924</v>
      </c>
      <c r="I15" s="29">
        <f t="shared" si="2"/>
        <v>-0.52235725750974549</v>
      </c>
      <c r="J15" s="29">
        <f t="shared" si="3"/>
        <v>-0.8987037926068171</v>
      </c>
    </row>
    <row r="16" spans="2:10" x14ac:dyDescent="0.15">
      <c r="B16" s="35" t="s">
        <v>86</v>
      </c>
      <c r="C16" s="26">
        <v>8713</v>
      </c>
      <c r="D16" s="26">
        <v>5272</v>
      </c>
      <c r="E16" s="26">
        <v>52</v>
      </c>
      <c r="F16" s="26">
        <v>3165</v>
      </c>
      <c r="G16" s="33"/>
      <c r="H16" s="29">
        <f t="shared" si="1"/>
        <v>-0.39492712039481237</v>
      </c>
      <c r="I16" s="29">
        <f t="shared" si="2"/>
        <v>-0.99013657056145676</v>
      </c>
      <c r="J16" s="29">
        <f t="shared" si="3"/>
        <v>59.865384615384613</v>
      </c>
    </row>
    <row r="17" spans="2:10" x14ac:dyDescent="0.15">
      <c r="B17" s="35" t="s">
        <v>87</v>
      </c>
      <c r="C17" s="26">
        <v>-2144</v>
      </c>
      <c r="D17" s="26">
        <v>620</v>
      </c>
      <c r="E17" s="26">
        <v>4247</v>
      </c>
      <c r="F17" s="26">
        <v>1760</v>
      </c>
      <c r="G17" s="33"/>
      <c r="H17" s="29">
        <f t="shared" si="1"/>
        <v>-1.289179104477612</v>
      </c>
      <c r="I17" s="29">
        <f t="shared" si="2"/>
        <v>5.85</v>
      </c>
      <c r="J17" s="29">
        <f t="shared" si="3"/>
        <v>-0.58558982811396287</v>
      </c>
    </row>
    <row r="18" spans="2:10" x14ac:dyDescent="0.15">
      <c r="B18" s="35" t="s">
        <v>88</v>
      </c>
      <c r="C18" s="26">
        <v>-8711</v>
      </c>
      <c r="D18" s="26">
        <v>-14964</v>
      </c>
      <c r="E18" s="26">
        <v>-19358</v>
      </c>
      <c r="F18" s="26">
        <v>-24166</v>
      </c>
      <c r="G18" s="33"/>
      <c r="H18" s="29">
        <f t="shared" si="1"/>
        <v>0.7178280335208358</v>
      </c>
      <c r="I18" s="29">
        <f t="shared" si="2"/>
        <v>0.29363806468858589</v>
      </c>
      <c r="J18" s="29">
        <f t="shared" si="3"/>
        <v>0.24837276578158907</v>
      </c>
    </row>
    <row r="19" spans="2:10" ht="13" thickBot="1" x14ac:dyDescent="0.2">
      <c r="B19" s="35" t="s">
        <v>89</v>
      </c>
      <c r="C19" s="26">
        <v>-6294</v>
      </c>
      <c r="D19" s="26">
        <v>-13332</v>
      </c>
      <c r="E19" s="26">
        <v>-9061</v>
      </c>
      <c r="F19" s="26">
        <v>-6196</v>
      </c>
      <c r="G19" s="33"/>
      <c r="H19" s="29">
        <f t="shared" si="1"/>
        <v>1.1182078169685417</v>
      </c>
      <c r="I19" s="29">
        <f t="shared" si="2"/>
        <v>-0.32035703570357033</v>
      </c>
      <c r="J19" s="29">
        <f t="shared" si="3"/>
        <v>-0.31619026597505795</v>
      </c>
    </row>
    <row r="20" spans="2:10" ht="13" x14ac:dyDescent="0.15">
      <c r="B20" s="18" t="s">
        <v>90</v>
      </c>
      <c r="C20" s="22">
        <v>28496</v>
      </c>
      <c r="D20" s="22">
        <v>19356</v>
      </c>
      <c r="E20" s="22">
        <v>17151</v>
      </c>
      <c r="F20" s="22">
        <v>15009</v>
      </c>
      <c r="G20" s="41"/>
      <c r="H20" s="27">
        <f t="shared" si="1"/>
        <v>-0.3207467714766985</v>
      </c>
      <c r="I20" s="27">
        <f t="shared" si="2"/>
        <v>-0.11391816491010542</v>
      </c>
      <c r="J20" s="27">
        <f t="shared" si="3"/>
        <v>-0.12489067692845901</v>
      </c>
    </row>
    <row r="21" spans="2:10" ht="26" x14ac:dyDescent="0.15">
      <c r="B21" s="37" t="s">
        <v>76</v>
      </c>
      <c r="C21" s="26">
        <v>-12948</v>
      </c>
      <c r="D21" s="26">
        <v>-14653</v>
      </c>
      <c r="E21" s="26">
        <v>-17202</v>
      </c>
      <c r="F21" s="26">
        <v>-15299</v>
      </c>
      <c r="G21" s="33"/>
      <c r="H21" s="29">
        <f t="shared" si="1"/>
        <v>0.13168056842755638</v>
      </c>
      <c r="I21" s="29">
        <f t="shared" si="2"/>
        <v>0.17395755135467139</v>
      </c>
      <c r="J21" s="29">
        <f t="shared" si="3"/>
        <v>-0.11062667131728865</v>
      </c>
    </row>
    <row r="22" spans="2:10" x14ac:dyDescent="0.15">
      <c r="B22" s="35" t="s">
        <v>91</v>
      </c>
      <c r="C22" s="26">
        <v>-9723</v>
      </c>
      <c r="D22" s="26">
        <v>-11142</v>
      </c>
      <c r="E22" s="26">
        <v>-10244</v>
      </c>
      <c r="F22" s="26">
        <v>-9047</v>
      </c>
      <c r="G22" s="33"/>
      <c r="H22" s="29">
        <f t="shared" si="1"/>
        <v>0.1459426103054613</v>
      </c>
      <c r="I22" s="29">
        <f t="shared" si="2"/>
        <v>-8.0595943277688042E-2</v>
      </c>
      <c r="J22" s="29">
        <f t="shared" si="3"/>
        <v>-0.11684888715345565</v>
      </c>
    </row>
    <row r="23" spans="2:10" x14ac:dyDescent="0.15">
      <c r="B23" s="35" t="s">
        <v>92</v>
      </c>
      <c r="C23" s="26">
        <v>-1122</v>
      </c>
      <c r="D23" s="26">
        <v>-675</v>
      </c>
      <c r="E23" s="26">
        <v>-284</v>
      </c>
      <c r="F23" s="26">
        <v>-359</v>
      </c>
      <c r="G23" s="33"/>
      <c r="H23" s="29">
        <f t="shared" si="1"/>
        <v>-0.39839572192513373</v>
      </c>
      <c r="I23" s="29">
        <f t="shared" si="2"/>
        <v>-0.57925925925925925</v>
      </c>
      <c r="J23" s="29">
        <f t="shared" si="3"/>
        <v>0.2640845070422535</v>
      </c>
    </row>
    <row r="24" spans="2:10" x14ac:dyDescent="0.15">
      <c r="B24" s="35" t="s">
        <v>93</v>
      </c>
      <c r="C24" s="26">
        <v>-2504</v>
      </c>
      <c r="D24" s="26">
        <v>-2041</v>
      </c>
      <c r="E24" s="26">
        <v>-2152</v>
      </c>
      <c r="F24" s="26">
        <v>-2106</v>
      </c>
      <c r="G24" s="33"/>
      <c r="H24" s="29">
        <f t="shared" si="1"/>
        <v>-0.18490415335463262</v>
      </c>
      <c r="I24" s="29">
        <f t="shared" si="2"/>
        <v>5.4385105340519324E-2</v>
      </c>
      <c r="J24" s="29">
        <f t="shared" si="3"/>
        <v>-2.1375464684014855E-2</v>
      </c>
    </row>
    <row r="25" spans="2:10" x14ac:dyDescent="0.15">
      <c r="B25" s="35" t="s">
        <v>94</v>
      </c>
      <c r="C25" s="26">
        <v>372</v>
      </c>
      <c r="D25" s="26">
        <v>-63</v>
      </c>
      <c r="E25" s="26">
        <v>-148</v>
      </c>
      <c r="F25" s="26">
        <v>67</v>
      </c>
      <c r="G25" s="33"/>
      <c r="H25" s="29">
        <f t="shared" si="1"/>
        <v>-1.1693548387096775</v>
      </c>
      <c r="I25" s="29">
        <f t="shared" si="2"/>
        <v>1.3492063492063493</v>
      </c>
      <c r="J25" s="29">
        <f t="shared" si="3"/>
        <v>-1.4527027027027026</v>
      </c>
    </row>
    <row r="26" spans="2:10" x14ac:dyDescent="0.15">
      <c r="B26" s="35" t="s">
        <v>95</v>
      </c>
      <c r="C26" s="26">
        <v>35</v>
      </c>
      <c r="D26" s="26">
        <v>41</v>
      </c>
      <c r="E26" s="26">
        <v>231</v>
      </c>
      <c r="F26" s="26">
        <v>951</v>
      </c>
      <c r="G26" s="33"/>
      <c r="H26" s="29">
        <f t="shared" si="1"/>
        <v>0.17142857142857149</v>
      </c>
      <c r="I26" s="29">
        <f t="shared" si="2"/>
        <v>4.6341463414634143</v>
      </c>
      <c r="J26" s="29">
        <f t="shared" si="3"/>
        <v>3.116883116883117</v>
      </c>
    </row>
    <row r="27" spans="2:10" ht="26" x14ac:dyDescent="0.15">
      <c r="B27" s="37" t="s">
        <v>96</v>
      </c>
      <c r="C27" s="26">
        <v>437</v>
      </c>
      <c r="D27" s="26">
        <v>501</v>
      </c>
      <c r="E27" s="26">
        <v>947</v>
      </c>
      <c r="F27" s="26">
        <v>733</v>
      </c>
      <c r="G27" s="33"/>
      <c r="H27" s="29">
        <f t="shared" si="1"/>
        <v>0.14645308924485123</v>
      </c>
      <c r="I27" s="29">
        <f t="shared" si="2"/>
        <v>0.8902195608782435</v>
      </c>
      <c r="J27" s="29">
        <f t="shared" si="3"/>
        <v>-0.22597676874340022</v>
      </c>
    </row>
    <row r="28" spans="2:10" x14ac:dyDescent="0.15">
      <c r="B28" s="35" t="s">
        <v>97</v>
      </c>
      <c r="C28" s="26">
        <v>-14885</v>
      </c>
      <c r="D28" s="26">
        <v>11273</v>
      </c>
      <c r="E28" s="26">
        <v>-203</v>
      </c>
      <c r="F28" s="26">
        <v>-1485</v>
      </c>
      <c r="G28" s="33"/>
      <c r="H28" s="29">
        <f t="shared" si="1"/>
        <v>-1.7573396036278133</v>
      </c>
      <c r="I28" s="29">
        <f t="shared" si="2"/>
        <v>-1.0180076288476891</v>
      </c>
      <c r="J28" s="29">
        <f t="shared" si="3"/>
        <v>6.3152709359605907</v>
      </c>
    </row>
    <row r="29" spans="2:10" ht="13" thickBot="1" x14ac:dyDescent="0.2">
      <c r="B29" s="35" t="s">
        <v>98</v>
      </c>
      <c r="C29" s="26">
        <v>-1483</v>
      </c>
      <c r="D29" s="26">
        <v>-3054</v>
      </c>
      <c r="E29" s="26">
        <v>-2517</v>
      </c>
      <c r="F29" s="26">
        <v>-938</v>
      </c>
      <c r="G29" s="33"/>
      <c r="H29" s="29">
        <f t="shared" si="1"/>
        <v>1.0593391773432232</v>
      </c>
      <c r="I29" s="29">
        <f t="shared" si="2"/>
        <v>-0.17583497053045183</v>
      </c>
      <c r="J29" s="29">
        <f t="shared" si="3"/>
        <v>-0.62733412793007548</v>
      </c>
    </row>
    <row r="30" spans="2:10" ht="13" x14ac:dyDescent="0.15">
      <c r="B30" s="18" t="s">
        <v>99</v>
      </c>
      <c r="C30" s="22">
        <v>-41822</v>
      </c>
      <c r="D30" s="22">
        <v>-19812</v>
      </c>
      <c r="E30" s="22">
        <v>-31573</v>
      </c>
      <c r="F30" s="22">
        <v>-27484</v>
      </c>
      <c r="G30" s="41"/>
      <c r="H30" s="27">
        <f t="shared" si="1"/>
        <v>-0.52627803548371666</v>
      </c>
      <c r="I30" s="27">
        <f t="shared" si="2"/>
        <v>0.59363012315768215</v>
      </c>
      <c r="J30" s="27">
        <f t="shared" si="3"/>
        <v>-0.12950939093529279</v>
      </c>
    </row>
    <row r="31" spans="2:10" x14ac:dyDescent="0.15">
      <c r="B31" s="35" t="s">
        <v>100</v>
      </c>
      <c r="C31" s="26">
        <v>-235</v>
      </c>
      <c r="D31" s="26">
        <v>1003</v>
      </c>
      <c r="E31" s="26">
        <v>-1144</v>
      </c>
      <c r="F31" s="26">
        <v>420</v>
      </c>
      <c r="G31" s="33"/>
      <c r="H31" s="29">
        <f t="shared" si="1"/>
        <v>-5.268085106382979</v>
      </c>
      <c r="I31" s="29">
        <f t="shared" si="2"/>
        <v>-2.140578265204387</v>
      </c>
      <c r="J31" s="29">
        <f t="shared" si="3"/>
        <v>-1.3671328671328671</v>
      </c>
    </row>
    <row r="32" spans="2:10" x14ac:dyDescent="0.15">
      <c r="B32" s="35" t="s">
        <v>101</v>
      </c>
      <c r="C32" s="26">
        <v>-4362</v>
      </c>
      <c r="D32" s="26">
        <v>-11732</v>
      </c>
      <c r="E32" s="26">
        <v>-5779</v>
      </c>
      <c r="F32" s="26">
        <v>-4460</v>
      </c>
      <c r="G32" s="33"/>
      <c r="H32" s="29">
        <f t="shared" si="1"/>
        <v>1.6895919303071985</v>
      </c>
      <c r="I32" s="29">
        <f t="shared" si="2"/>
        <v>-0.50741561541084212</v>
      </c>
      <c r="J32" s="29">
        <f t="shared" si="3"/>
        <v>-0.22824017996193113</v>
      </c>
    </row>
    <row r="33" spans="2:10" x14ac:dyDescent="0.15">
      <c r="B33" s="35" t="s">
        <v>102</v>
      </c>
      <c r="C33" s="26">
        <v>16198</v>
      </c>
      <c r="D33" s="26">
        <v>-8</v>
      </c>
      <c r="E33" s="39" t="s">
        <v>116</v>
      </c>
      <c r="F33" s="26">
        <v>352</v>
      </c>
      <c r="G33" s="33"/>
      <c r="H33" s="29">
        <f t="shared" si="1"/>
        <v>-1.0004938881343375</v>
      </c>
      <c r="I33" s="43" t="s">
        <v>116</v>
      </c>
      <c r="J33" s="43" t="s">
        <v>116</v>
      </c>
    </row>
    <row r="34" spans="2:10" x14ac:dyDescent="0.15">
      <c r="B34" s="35" t="s">
        <v>103</v>
      </c>
      <c r="C34" s="26">
        <v>23876</v>
      </c>
      <c r="D34" s="26">
        <v>37740</v>
      </c>
      <c r="E34" s="26">
        <v>38420</v>
      </c>
      <c r="F34" s="26">
        <v>35993</v>
      </c>
      <c r="G34" s="33"/>
      <c r="H34" s="29">
        <f t="shared" si="1"/>
        <v>0.58066677835483338</v>
      </c>
      <c r="I34" s="29">
        <f t="shared" si="2"/>
        <v>1.8018018018018056E-2</v>
      </c>
      <c r="J34" s="29">
        <f t="shared" si="3"/>
        <v>-6.3170223841749085E-2</v>
      </c>
    </row>
    <row r="35" spans="2:10" x14ac:dyDescent="0.15">
      <c r="B35" s="35" t="s">
        <v>104</v>
      </c>
      <c r="C35" s="26">
        <v>-25638</v>
      </c>
      <c r="D35" s="26">
        <v>-32582</v>
      </c>
      <c r="E35" s="26">
        <v>-32617</v>
      </c>
      <c r="F35" s="26">
        <v>-32669</v>
      </c>
      <c r="G35" s="33"/>
      <c r="H35" s="29">
        <f t="shared" si="1"/>
        <v>0.27084796005928702</v>
      </c>
      <c r="I35" s="29">
        <f t="shared" si="2"/>
        <v>1.0742127555092296E-3</v>
      </c>
      <c r="J35" s="29">
        <f t="shared" si="3"/>
        <v>1.5942606616181632E-3</v>
      </c>
    </row>
    <row r="36" spans="2:10" x14ac:dyDescent="0.15">
      <c r="B36" s="35" t="s">
        <v>117</v>
      </c>
      <c r="C36" s="39" t="s">
        <v>116</v>
      </c>
      <c r="D36" s="39" t="s">
        <v>116</v>
      </c>
      <c r="E36" s="26">
        <v>13828</v>
      </c>
      <c r="F36" s="26">
        <v>27549</v>
      </c>
      <c r="G36" s="33"/>
      <c r="H36" s="43" t="s">
        <v>116</v>
      </c>
      <c r="I36" s="43" t="s">
        <v>116</v>
      </c>
      <c r="J36" s="29">
        <f t="shared" si="3"/>
        <v>0.99226207694532831</v>
      </c>
    </row>
    <row r="37" spans="2:10" x14ac:dyDescent="0.15">
      <c r="B37" s="35" t="s">
        <v>118</v>
      </c>
      <c r="C37" s="39" t="s">
        <v>116</v>
      </c>
      <c r="D37" s="39" t="s">
        <v>116</v>
      </c>
      <c r="E37" s="26">
        <v>-12414</v>
      </c>
      <c r="F37" s="26">
        <v>-30417</v>
      </c>
      <c r="G37" s="33"/>
      <c r="H37" s="43" t="s">
        <v>116</v>
      </c>
      <c r="I37" s="43" t="s">
        <v>116</v>
      </c>
      <c r="J37" s="29">
        <f t="shared" si="3"/>
        <v>1.4502174963750605</v>
      </c>
    </row>
    <row r="38" spans="2:10" x14ac:dyDescent="0.15">
      <c r="B38" s="35" t="s">
        <v>105</v>
      </c>
      <c r="C38" s="26">
        <v>-4366</v>
      </c>
      <c r="D38" s="26">
        <v>22776</v>
      </c>
      <c r="E38" s="26">
        <v>12179</v>
      </c>
      <c r="F38" s="26">
        <v>16624</v>
      </c>
      <c r="G38" s="33"/>
      <c r="H38" s="29">
        <f t="shared" si="1"/>
        <v>-6.2166743014200643</v>
      </c>
      <c r="I38" s="29">
        <f t="shared" si="2"/>
        <v>-0.46527046013347384</v>
      </c>
      <c r="J38" s="29">
        <f t="shared" si="3"/>
        <v>0.36497249363658746</v>
      </c>
    </row>
    <row r="39" spans="2:10" ht="13" thickBot="1" x14ac:dyDescent="0.2">
      <c r="B39" s="35" t="s">
        <v>106</v>
      </c>
      <c r="C39" s="26">
        <v>-1248</v>
      </c>
      <c r="D39" s="26">
        <v>-1190</v>
      </c>
      <c r="E39" s="26">
        <v>-1334</v>
      </c>
      <c r="F39" s="26">
        <v>-1476</v>
      </c>
      <c r="G39" s="33"/>
      <c r="H39" s="29">
        <f t="shared" si="1"/>
        <v>-4.647435897435892E-2</v>
      </c>
      <c r="I39" s="29">
        <f t="shared" si="2"/>
        <v>0.12100840336134455</v>
      </c>
      <c r="J39" s="29">
        <f t="shared" si="3"/>
        <v>0.1064467766116941</v>
      </c>
    </row>
    <row r="40" spans="2:10" ht="13" x14ac:dyDescent="0.15">
      <c r="B40" s="18" t="s">
        <v>107</v>
      </c>
      <c r="C40" s="22">
        <v>4225</v>
      </c>
      <c r="D40" s="22">
        <v>16008</v>
      </c>
      <c r="E40" s="22">
        <v>11140</v>
      </c>
      <c r="F40" s="22">
        <v>11918</v>
      </c>
      <c r="G40" s="41"/>
      <c r="H40" s="27">
        <f t="shared" si="1"/>
        <v>2.7888757396449706</v>
      </c>
      <c r="I40" s="27">
        <f t="shared" si="2"/>
        <v>-0.30409795102448778</v>
      </c>
      <c r="J40" s="27">
        <f t="shared" si="3"/>
        <v>6.9838420107720012E-2</v>
      </c>
    </row>
    <row r="41" spans="2:10" x14ac:dyDescent="0.15">
      <c r="B41" s="35" t="s">
        <v>108</v>
      </c>
      <c r="C41" s="26">
        <v>-285</v>
      </c>
      <c r="D41" s="26">
        <v>-1764</v>
      </c>
      <c r="E41" s="26">
        <v>55</v>
      </c>
      <c r="F41" s="26">
        <v>-938</v>
      </c>
      <c r="G41" s="33"/>
      <c r="H41" s="29">
        <f t="shared" si="1"/>
        <v>5.189473684210526</v>
      </c>
      <c r="I41" s="29">
        <f t="shared" si="2"/>
        <v>-1.0311791383219955</v>
      </c>
      <c r="J41" s="29">
        <f t="shared" si="3"/>
        <v>-18.054545454545455</v>
      </c>
    </row>
    <row r="42" spans="2:10" ht="13" thickBot="1" x14ac:dyDescent="0.2">
      <c r="B42" s="35" t="s">
        <v>109</v>
      </c>
      <c r="C42" s="26">
        <v>1</v>
      </c>
      <c r="D42" s="26">
        <v>-2</v>
      </c>
      <c r="E42" s="26">
        <v>1</v>
      </c>
      <c r="F42" s="26">
        <v>0</v>
      </c>
      <c r="G42" s="33"/>
      <c r="H42" s="29">
        <f t="shared" si="1"/>
        <v>-3</v>
      </c>
      <c r="I42" s="29">
        <f t="shared" si="2"/>
        <v>-1.5</v>
      </c>
      <c r="J42" s="29">
        <f t="shared" si="3"/>
        <v>-1</v>
      </c>
    </row>
    <row r="43" spans="2:10" ht="14" thickBot="1" x14ac:dyDescent="0.2">
      <c r="B43" s="18" t="s">
        <v>110</v>
      </c>
      <c r="C43" s="22">
        <v>-9385</v>
      </c>
      <c r="D43" s="22">
        <v>13785</v>
      </c>
      <c r="E43" s="22">
        <v>-3226</v>
      </c>
      <c r="F43" s="22">
        <v>-1495</v>
      </c>
      <c r="G43" s="41"/>
      <c r="H43" s="27">
        <f t="shared" si="1"/>
        <v>-2.4688332445391583</v>
      </c>
      <c r="I43" s="27">
        <f t="shared" si="2"/>
        <v>-1.2340224882118245</v>
      </c>
      <c r="J43" s="27">
        <f t="shared" si="3"/>
        <v>-0.53657780533168009</v>
      </c>
    </row>
    <row r="44" spans="2:10" ht="14" thickBot="1" x14ac:dyDescent="0.2">
      <c r="B44" s="8" t="s">
        <v>111</v>
      </c>
      <c r="C44" s="9">
        <v>29738</v>
      </c>
      <c r="D44" s="9">
        <v>43522</v>
      </c>
      <c r="E44" s="9">
        <v>40296</v>
      </c>
      <c r="F44" s="9">
        <v>38801</v>
      </c>
      <c r="G44" s="41"/>
      <c r="H44" s="30">
        <f t="shared" si="1"/>
        <v>0.46351469500302644</v>
      </c>
      <c r="I44" s="30">
        <f t="shared" si="2"/>
        <v>-7.412343182758141E-2</v>
      </c>
      <c r="J44" s="30">
        <f t="shared" si="3"/>
        <v>-3.7100456621004585E-2</v>
      </c>
    </row>
    <row r="45" spans="2:10" ht="13" thickTop="1" x14ac:dyDescent="0.15">
      <c r="B45" s="35" t="s">
        <v>112</v>
      </c>
      <c r="C45" s="26">
        <v>49771</v>
      </c>
      <c r="D45" s="26">
        <v>41858</v>
      </c>
      <c r="E45" s="26">
        <v>44662</v>
      </c>
      <c r="F45" s="26">
        <v>47395</v>
      </c>
      <c r="G45" s="33"/>
      <c r="H45" s="29">
        <f t="shared" si="1"/>
        <v>-0.15898816579936104</v>
      </c>
      <c r="I45" s="29">
        <f t="shared" si="2"/>
        <v>6.6988389316259722E-2</v>
      </c>
      <c r="J45" s="29">
        <f t="shared" si="3"/>
        <v>6.1192960458555268E-2</v>
      </c>
    </row>
    <row r="46" spans="2:10" ht="13" x14ac:dyDescent="0.15">
      <c r="B46" s="38" t="s">
        <v>113</v>
      </c>
      <c r="C46" s="40">
        <v>79509</v>
      </c>
      <c r="D46" s="40">
        <v>85380</v>
      </c>
      <c r="E46" s="40">
        <v>84959</v>
      </c>
      <c r="F46" s="40">
        <v>86197</v>
      </c>
      <c r="G46" s="41"/>
      <c r="H46" s="44">
        <f t="shared" si="1"/>
        <v>7.3840697279553336E-2</v>
      </c>
      <c r="I46" s="44">
        <f t="shared" si="2"/>
        <v>-4.9308971656125689E-3</v>
      </c>
      <c r="J46" s="44">
        <f t="shared" si="3"/>
        <v>1.4571734601396047E-2</v>
      </c>
    </row>
    <row r="47" spans="2:10" x14ac:dyDescent="0.15">
      <c r="B47" s="35" t="s">
        <v>114</v>
      </c>
      <c r="C47" s="26">
        <v>-205312</v>
      </c>
      <c r="D47" s="26">
        <v>-232813</v>
      </c>
      <c r="E47" s="26">
        <v>-254081</v>
      </c>
      <c r="F47" s="26">
        <v>-264703</v>
      </c>
      <c r="G47" s="33"/>
      <c r="H47" s="29">
        <f t="shared" si="1"/>
        <v>0.13394735816708225</v>
      </c>
      <c r="I47" s="29">
        <f t="shared" si="2"/>
        <v>9.1352287028645396E-2</v>
      </c>
      <c r="J47" s="29">
        <f t="shared" si="3"/>
        <v>4.1805565941569922E-2</v>
      </c>
    </row>
    <row r="48" spans="2:10" ht="13" x14ac:dyDescent="0.15">
      <c r="B48" s="17" t="s">
        <v>115</v>
      </c>
      <c r="C48" s="40">
        <v>-125803</v>
      </c>
      <c r="D48" s="40">
        <v>-147433</v>
      </c>
      <c r="E48" s="40">
        <v>-169122</v>
      </c>
      <c r="F48" s="40">
        <v>178506</v>
      </c>
      <c r="G48" s="41"/>
      <c r="H48" s="44">
        <f t="shared" si="1"/>
        <v>0.17193548643514056</v>
      </c>
      <c r="I48" s="44">
        <f t="shared" si="2"/>
        <v>0.14711089104881547</v>
      </c>
      <c r="J48" s="44">
        <f t="shared" si="3"/>
        <v>-2.0554865718238906</v>
      </c>
    </row>
    <row r="49" spans="7:7" x14ac:dyDescent="0.15">
      <c r="G49" s="33"/>
    </row>
  </sheetData>
  <conditionalFormatting sqref="H4:J48">
    <cfRule type="iconSet" priority="1">
      <iconSet>
        <cfvo type="percent" val="0"/>
        <cfvo type="num" val="-0.1"/>
        <cfvo type="num" val="0.1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441C-A5C8-D74A-914C-68AE8D1E5461}">
  <dimension ref="B1:Q52"/>
  <sheetViews>
    <sheetView zoomScale="200" workbookViewId="0"/>
  </sheetViews>
  <sheetFormatPr baseColWidth="10" defaultRowHeight="12" x14ac:dyDescent="0.15"/>
  <cols>
    <col min="1" max="1" width="2.1640625" style="7" customWidth="1"/>
    <col min="2" max="2" width="43.83203125" style="7" bestFit="1" customWidth="1"/>
    <col min="3" max="8" width="10.83203125" style="7" customWidth="1"/>
    <col min="9" max="16384" width="10.83203125" style="7"/>
  </cols>
  <sheetData>
    <row r="1" spans="2:15" x14ac:dyDescent="0.15">
      <c r="B1" s="32" t="s">
        <v>119</v>
      </c>
    </row>
    <row r="3" spans="2:15" ht="141" thickBot="1" x14ac:dyDescent="0.2">
      <c r="B3" s="10" t="s">
        <v>19</v>
      </c>
      <c r="C3" s="47" t="s">
        <v>120</v>
      </c>
      <c r="D3" s="47" t="s">
        <v>121</v>
      </c>
      <c r="E3" s="47" t="s">
        <v>122</v>
      </c>
      <c r="F3" s="47" t="s">
        <v>123</v>
      </c>
      <c r="G3" s="47" t="s">
        <v>124</v>
      </c>
      <c r="H3" s="47" t="s">
        <v>125</v>
      </c>
      <c r="I3" s="47" t="s">
        <v>126</v>
      </c>
      <c r="J3" s="47" t="s">
        <v>29</v>
      </c>
      <c r="K3" s="47" t="s">
        <v>127</v>
      </c>
      <c r="L3" s="47" t="s">
        <v>128</v>
      </c>
      <c r="M3" s="47" t="s">
        <v>129</v>
      </c>
      <c r="N3" s="47" t="s">
        <v>130</v>
      </c>
    </row>
    <row r="4" spans="2:15" ht="13" x14ac:dyDescent="0.15">
      <c r="B4" s="18" t="s">
        <v>131</v>
      </c>
      <c r="C4" s="22">
        <v>1283</v>
      </c>
      <c r="D4" s="22">
        <v>14551</v>
      </c>
      <c r="E4" s="22">
        <v>117342</v>
      </c>
      <c r="F4" s="22">
        <v>-2351</v>
      </c>
      <c r="G4" s="22">
        <v>-635</v>
      </c>
      <c r="H4" s="22">
        <v>-367</v>
      </c>
      <c r="I4" s="22">
        <v>-355</v>
      </c>
      <c r="J4" s="22">
        <v>541</v>
      </c>
      <c r="K4" s="22">
        <v>14439</v>
      </c>
      <c r="L4" s="22">
        <v>144449</v>
      </c>
      <c r="M4" s="22">
        <v>1705</v>
      </c>
      <c r="N4" s="22">
        <v>146154</v>
      </c>
      <c r="O4" s="23"/>
    </row>
    <row r="5" spans="2:15" x14ac:dyDescent="0.15">
      <c r="B5" s="35" t="s">
        <v>132</v>
      </c>
      <c r="C5" s="26" t="s">
        <v>116</v>
      </c>
      <c r="D5" s="26" t="s">
        <v>116</v>
      </c>
      <c r="E5" s="26">
        <v>-11</v>
      </c>
      <c r="F5" s="26" t="s">
        <v>116</v>
      </c>
      <c r="G5" s="26" t="s">
        <v>116</v>
      </c>
      <c r="H5" s="26" t="s">
        <v>116</v>
      </c>
      <c r="I5" s="26" t="s">
        <v>116</v>
      </c>
      <c r="J5" s="26">
        <v>1</v>
      </c>
      <c r="K5" s="26" t="s">
        <v>116</v>
      </c>
      <c r="L5" s="26">
        <v>-11</v>
      </c>
      <c r="M5" s="26" t="s">
        <v>116</v>
      </c>
      <c r="N5" s="26">
        <v>-11</v>
      </c>
      <c r="O5" s="23"/>
    </row>
    <row r="6" spans="2:15" ht="13" x14ac:dyDescent="0.15">
      <c r="B6" s="17" t="s">
        <v>133</v>
      </c>
      <c r="C6" s="38">
        <v>1283</v>
      </c>
      <c r="D6" s="38">
        <v>14551</v>
      </c>
      <c r="E6" s="38">
        <v>117331</v>
      </c>
      <c r="F6" s="38">
        <v>-2351</v>
      </c>
      <c r="G6" s="38">
        <v>-635</v>
      </c>
      <c r="H6" s="38">
        <v>-367</v>
      </c>
      <c r="I6" s="38">
        <v>-355</v>
      </c>
      <c r="J6" s="38">
        <v>542</v>
      </c>
      <c r="K6" s="38">
        <v>14439</v>
      </c>
      <c r="L6" s="38">
        <v>144438</v>
      </c>
      <c r="M6" s="38">
        <v>1705</v>
      </c>
      <c r="N6" s="38">
        <v>146143</v>
      </c>
      <c r="O6" s="26"/>
    </row>
    <row r="7" spans="2:15" x14ac:dyDescent="0.15">
      <c r="B7" s="35" t="s">
        <v>134</v>
      </c>
      <c r="C7" s="26" t="s">
        <v>116</v>
      </c>
      <c r="D7" s="26" t="s">
        <v>116</v>
      </c>
      <c r="E7" s="26">
        <v>14881</v>
      </c>
      <c r="F7" s="26" t="s">
        <v>116</v>
      </c>
      <c r="G7" s="26" t="s">
        <v>116</v>
      </c>
      <c r="H7" s="26" t="s">
        <v>116</v>
      </c>
      <c r="I7" s="26" t="s">
        <v>116</v>
      </c>
      <c r="J7" s="26" t="s">
        <v>116</v>
      </c>
      <c r="K7" s="26">
        <v>576</v>
      </c>
      <c r="L7" s="26">
        <v>15457</v>
      </c>
      <c r="M7" s="26">
        <v>395</v>
      </c>
      <c r="N7" s="26">
        <v>15852</v>
      </c>
      <c r="O7" s="23"/>
    </row>
    <row r="8" spans="2:15" ht="13" thickBot="1" x14ac:dyDescent="0.2">
      <c r="B8" s="35" t="s">
        <v>135</v>
      </c>
      <c r="C8" s="26" t="s">
        <v>116</v>
      </c>
      <c r="D8" s="26" t="s">
        <v>116</v>
      </c>
      <c r="E8" s="26">
        <v>10243</v>
      </c>
      <c r="F8" s="26">
        <v>321</v>
      </c>
      <c r="G8" s="26">
        <v>1920</v>
      </c>
      <c r="H8" s="26">
        <v>-885</v>
      </c>
      <c r="I8" s="26">
        <v>-705</v>
      </c>
      <c r="J8" s="26">
        <v>325</v>
      </c>
      <c r="K8" s="26" t="s">
        <v>116</v>
      </c>
      <c r="L8" s="26">
        <v>11218</v>
      </c>
      <c r="M8" s="26">
        <v>241</v>
      </c>
      <c r="N8" s="26">
        <v>11459</v>
      </c>
      <c r="O8" s="23"/>
    </row>
    <row r="9" spans="2:15" ht="13" x14ac:dyDescent="0.15">
      <c r="B9" s="18" t="s">
        <v>136</v>
      </c>
      <c r="C9" s="22" t="s">
        <v>116</v>
      </c>
      <c r="D9" s="22" t="s">
        <v>116</v>
      </c>
      <c r="E9" s="22">
        <v>25124</v>
      </c>
      <c r="F9" s="22">
        <v>321</v>
      </c>
      <c r="G9" s="22">
        <v>1920</v>
      </c>
      <c r="H9" s="22">
        <v>-885</v>
      </c>
      <c r="I9" s="22">
        <v>-705</v>
      </c>
      <c r="J9" s="22">
        <v>325</v>
      </c>
      <c r="K9" s="22">
        <v>576</v>
      </c>
      <c r="L9" s="22">
        <v>26676</v>
      </c>
      <c r="M9" s="22">
        <v>636</v>
      </c>
      <c r="N9" s="22">
        <v>27312</v>
      </c>
      <c r="O9" s="26"/>
    </row>
    <row r="10" spans="2:15" ht="13" x14ac:dyDescent="0.15">
      <c r="B10" s="35" t="s">
        <v>137</v>
      </c>
      <c r="C10" s="26" t="s">
        <v>116</v>
      </c>
      <c r="D10" s="26" t="s">
        <v>116</v>
      </c>
      <c r="E10" s="26">
        <v>-58</v>
      </c>
      <c r="F10" s="26" t="s">
        <v>116</v>
      </c>
      <c r="G10" s="48" t="s">
        <v>116</v>
      </c>
      <c r="H10" s="26" t="s">
        <v>116</v>
      </c>
      <c r="I10" s="26">
        <v>58</v>
      </c>
      <c r="J10" s="26" t="s">
        <v>116</v>
      </c>
      <c r="K10" s="26" t="s">
        <v>116</v>
      </c>
      <c r="L10" s="26" t="s">
        <v>116</v>
      </c>
      <c r="M10" s="26" t="s">
        <v>116</v>
      </c>
      <c r="N10" s="26" t="s">
        <v>116</v>
      </c>
      <c r="O10" s="23"/>
    </row>
    <row r="11" spans="2:15" x14ac:dyDescent="0.15">
      <c r="B11" s="35" t="s">
        <v>138</v>
      </c>
      <c r="C11" s="26" t="s">
        <v>116</v>
      </c>
      <c r="D11" s="26" t="s">
        <v>116</v>
      </c>
      <c r="E11" s="26" t="s">
        <v>116</v>
      </c>
      <c r="F11" s="26" t="s">
        <v>116</v>
      </c>
      <c r="G11" s="26" t="s">
        <v>116</v>
      </c>
      <c r="H11" s="26" t="s">
        <v>116</v>
      </c>
      <c r="I11" s="26" t="s">
        <v>116</v>
      </c>
      <c r="J11" s="26" t="s">
        <v>116</v>
      </c>
      <c r="K11" s="26">
        <v>-337</v>
      </c>
      <c r="L11" s="26">
        <v>-337</v>
      </c>
      <c r="M11" s="26">
        <v>103</v>
      </c>
      <c r="N11" s="26">
        <v>-234</v>
      </c>
      <c r="O11" s="23"/>
    </row>
    <row r="12" spans="2:15" x14ac:dyDescent="0.15">
      <c r="B12" s="35" t="s">
        <v>139</v>
      </c>
      <c r="C12" s="26" t="s">
        <v>116</v>
      </c>
      <c r="D12" s="26" t="s">
        <v>116</v>
      </c>
      <c r="E12" s="26">
        <v>-13327</v>
      </c>
      <c r="F12" s="26" t="s">
        <v>116</v>
      </c>
      <c r="G12" s="26" t="s">
        <v>116</v>
      </c>
      <c r="H12" s="26" t="s">
        <v>116</v>
      </c>
      <c r="I12" s="26" t="s">
        <v>116</v>
      </c>
      <c r="J12" s="26" t="s">
        <v>116</v>
      </c>
      <c r="K12" s="26">
        <v>-557</v>
      </c>
      <c r="L12" s="26">
        <v>-13884</v>
      </c>
      <c r="M12" s="26">
        <v>-257</v>
      </c>
      <c r="N12" s="48">
        <v>-14141</v>
      </c>
      <c r="O12" s="23"/>
    </row>
    <row r="13" spans="2:15" x14ac:dyDescent="0.15">
      <c r="B13" s="35" t="s">
        <v>140</v>
      </c>
      <c r="C13" s="26" t="s">
        <v>116</v>
      </c>
      <c r="D13" s="26" t="s">
        <v>116</v>
      </c>
      <c r="E13" s="26">
        <v>8148</v>
      </c>
      <c r="F13" s="26">
        <v>-226</v>
      </c>
      <c r="G13" s="26">
        <v>338</v>
      </c>
      <c r="H13" s="26">
        <v>174</v>
      </c>
      <c r="I13" s="26">
        <v>-3</v>
      </c>
      <c r="J13" s="26">
        <v>0</v>
      </c>
      <c r="K13" s="26" t="s">
        <v>116</v>
      </c>
      <c r="L13" s="26">
        <v>8432</v>
      </c>
      <c r="M13" s="26">
        <v>10796</v>
      </c>
      <c r="N13" s="26">
        <v>19228</v>
      </c>
      <c r="O13" s="23"/>
    </row>
    <row r="14" spans="2:15" x14ac:dyDescent="0.15">
      <c r="B14" s="35" t="s">
        <v>141</v>
      </c>
      <c r="C14" s="26" t="s">
        <v>116</v>
      </c>
      <c r="D14" s="26" t="s">
        <v>116</v>
      </c>
      <c r="E14" s="26">
        <v>54</v>
      </c>
      <c r="F14" s="26" t="s">
        <v>116</v>
      </c>
      <c r="G14" s="26" t="s">
        <v>116</v>
      </c>
      <c r="H14" s="26" t="s">
        <v>116</v>
      </c>
      <c r="I14" s="26" t="s">
        <v>116</v>
      </c>
      <c r="J14" s="26">
        <v>-3</v>
      </c>
      <c r="K14" s="26" t="s">
        <v>116</v>
      </c>
      <c r="L14" s="26">
        <v>51</v>
      </c>
      <c r="M14" s="26">
        <v>-30</v>
      </c>
      <c r="N14" s="26">
        <v>21</v>
      </c>
      <c r="O14" s="23"/>
    </row>
    <row r="15" spans="2:15" ht="13" x14ac:dyDescent="0.15">
      <c r="B15" s="17" t="s">
        <v>145</v>
      </c>
      <c r="C15" s="38">
        <v>1283</v>
      </c>
      <c r="D15" s="38">
        <v>14551</v>
      </c>
      <c r="E15" s="38">
        <v>137272</v>
      </c>
      <c r="F15" s="38">
        <v>-2256</v>
      </c>
      <c r="G15" s="38">
        <v>1623</v>
      </c>
      <c r="H15" s="38">
        <v>-1077</v>
      </c>
      <c r="I15" s="38">
        <v>-1005</v>
      </c>
      <c r="J15" s="38">
        <v>864</v>
      </c>
      <c r="K15" s="38">
        <v>14121</v>
      </c>
      <c r="L15" s="38">
        <v>165376</v>
      </c>
      <c r="M15" s="38">
        <v>12952</v>
      </c>
      <c r="N15" s="38">
        <v>178328</v>
      </c>
      <c r="O15" s="26"/>
    </row>
    <row r="16" spans="2:15" ht="13" thickBot="1" x14ac:dyDescent="0.2">
      <c r="B16" s="3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spans="2:15" ht="13" x14ac:dyDescent="0.15">
      <c r="B17" s="18" t="s">
        <v>142</v>
      </c>
      <c r="C17" s="18">
        <v>1283</v>
      </c>
      <c r="D17" s="18">
        <v>14551</v>
      </c>
      <c r="E17" s="18">
        <v>137267</v>
      </c>
      <c r="F17" s="18">
        <v>-2256</v>
      </c>
      <c r="G17" s="18">
        <v>1623</v>
      </c>
      <c r="H17" s="18">
        <v>-1077</v>
      </c>
      <c r="I17" s="18">
        <v>-1005</v>
      </c>
      <c r="J17" s="18">
        <v>870</v>
      </c>
      <c r="K17" s="18">
        <v>14121</v>
      </c>
      <c r="L17" s="18">
        <v>165378</v>
      </c>
      <c r="M17" s="18">
        <v>12950</v>
      </c>
      <c r="N17" s="18">
        <v>178327</v>
      </c>
      <c r="O17" s="23"/>
    </row>
    <row r="18" spans="2:15" x14ac:dyDescent="0.15">
      <c r="B18" s="35" t="s">
        <v>132</v>
      </c>
      <c r="C18" s="49" t="s">
        <v>116</v>
      </c>
      <c r="D18" s="26" t="s">
        <v>116</v>
      </c>
      <c r="E18" s="26">
        <v>5</v>
      </c>
      <c r="F18" s="26" t="s">
        <v>116</v>
      </c>
      <c r="G18" s="26" t="s">
        <v>116</v>
      </c>
      <c r="H18" s="26" t="s">
        <v>116</v>
      </c>
      <c r="I18" s="26" t="s">
        <v>116</v>
      </c>
      <c r="J18" s="26">
        <v>-7</v>
      </c>
      <c r="K18" s="26" t="s">
        <v>116</v>
      </c>
      <c r="L18" s="26">
        <v>-1</v>
      </c>
      <c r="M18" s="26">
        <v>2</v>
      </c>
      <c r="N18" s="26">
        <v>1</v>
      </c>
      <c r="O18" s="23"/>
    </row>
    <row r="19" spans="2:15" ht="13" x14ac:dyDescent="0.15">
      <c r="B19" s="17" t="s">
        <v>143</v>
      </c>
      <c r="C19" s="38">
        <v>1283</v>
      </c>
      <c r="D19" s="38">
        <v>14551</v>
      </c>
      <c r="E19" s="38">
        <v>137272</v>
      </c>
      <c r="F19" s="38">
        <v>-2256</v>
      </c>
      <c r="G19" s="38">
        <v>1623</v>
      </c>
      <c r="H19" s="38">
        <v>-1077</v>
      </c>
      <c r="I19" s="38">
        <v>-1005</v>
      </c>
      <c r="J19" s="38">
        <v>864</v>
      </c>
      <c r="K19" s="38">
        <v>14121</v>
      </c>
      <c r="L19" s="38">
        <v>165376</v>
      </c>
      <c r="M19" s="38">
        <v>12952</v>
      </c>
      <c r="N19" s="38">
        <v>178328</v>
      </c>
      <c r="O19" s="23"/>
    </row>
    <row r="20" spans="2:15" x14ac:dyDescent="0.15">
      <c r="B20" s="35" t="s">
        <v>134</v>
      </c>
      <c r="C20" s="49" t="s">
        <v>116</v>
      </c>
      <c r="D20" s="26" t="s">
        <v>116</v>
      </c>
      <c r="E20" s="26">
        <v>16013</v>
      </c>
      <c r="F20" s="26" t="s">
        <v>116</v>
      </c>
      <c r="G20" s="26" t="s">
        <v>116</v>
      </c>
      <c r="H20" s="26" t="s">
        <v>116</v>
      </c>
      <c r="I20" s="26" t="s">
        <v>116</v>
      </c>
      <c r="J20" s="26" t="s">
        <v>116</v>
      </c>
      <c r="K20" s="26">
        <v>586</v>
      </c>
      <c r="L20" s="26">
        <v>16599</v>
      </c>
      <c r="M20" s="26">
        <v>1329</v>
      </c>
      <c r="N20" s="49">
        <v>17928</v>
      </c>
      <c r="O20" s="23"/>
    </row>
    <row r="21" spans="2:15" ht="13" thickBot="1" x14ac:dyDescent="0.2">
      <c r="B21" s="35" t="s">
        <v>135</v>
      </c>
      <c r="C21" s="49" t="s">
        <v>116</v>
      </c>
      <c r="D21" s="26" t="s">
        <v>116</v>
      </c>
      <c r="E21" s="26">
        <v>-1153</v>
      </c>
      <c r="F21" s="26">
        <v>-1163</v>
      </c>
      <c r="G21" s="26">
        <v>-151</v>
      </c>
      <c r="H21" s="26">
        <v>401</v>
      </c>
      <c r="I21" s="26">
        <v>52</v>
      </c>
      <c r="J21" s="26">
        <v>-388</v>
      </c>
      <c r="K21" s="26" t="s">
        <v>116</v>
      </c>
      <c r="L21" s="26">
        <v>-2402</v>
      </c>
      <c r="M21" s="26">
        <v>64</v>
      </c>
      <c r="N21" s="49">
        <v>-2339</v>
      </c>
      <c r="O21" s="23"/>
    </row>
    <row r="22" spans="2:15" ht="13" x14ac:dyDescent="0.15">
      <c r="B22" s="50" t="s">
        <v>136</v>
      </c>
      <c r="C22" s="22" t="s">
        <v>116</v>
      </c>
      <c r="D22" s="22" t="s">
        <v>116</v>
      </c>
      <c r="E22" s="22">
        <v>14860</v>
      </c>
      <c r="F22" s="22">
        <v>-1163</v>
      </c>
      <c r="G22" s="22">
        <v>-151</v>
      </c>
      <c r="H22" s="22">
        <v>401</v>
      </c>
      <c r="I22" s="22">
        <v>52</v>
      </c>
      <c r="J22" s="22">
        <v>-388</v>
      </c>
      <c r="K22" s="22">
        <v>586</v>
      </c>
      <c r="L22" s="22">
        <v>14197</v>
      </c>
      <c r="M22" s="22">
        <v>1393</v>
      </c>
      <c r="N22" s="22">
        <v>15589</v>
      </c>
      <c r="O22" s="23"/>
    </row>
    <row r="23" spans="2:15" x14ac:dyDescent="0.15">
      <c r="B23" s="35" t="s">
        <v>137</v>
      </c>
      <c r="C23" s="49" t="s">
        <v>116</v>
      </c>
      <c r="D23" s="26" t="s">
        <v>116</v>
      </c>
      <c r="E23" s="26">
        <v>13</v>
      </c>
      <c r="F23" s="26" t="s">
        <v>116</v>
      </c>
      <c r="G23" s="26" t="s">
        <v>116</v>
      </c>
      <c r="H23" s="26" t="s">
        <v>116</v>
      </c>
      <c r="I23" s="26">
        <v>-13</v>
      </c>
      <c r="J23" s="26" t="s">
        <v>116</v>
      </c>
      <c r="K23" s="26" t="s">
        <v>116</v>
      </c>
      <c r="L23" s="26" t="s">
        <v>116</v>
      </c>
      <c r="M23" s="26" t="s">
        <v>116</v>
      </c>
      <c r="N23" s="49" t="s">
        <v>116</v>
      </c>
      <c r="O23" s="23"/>
    </row>
    <row r="24" spans="2:15" x14ac:dyDescent="0.15">
      <c r="B24" s="35" t="s">
        <v>138</v>
      </c>
      <c r="C24" s="49" t="s">
        <v>116</v>
      </c>
      <c r="D24" s="26" t="s">
        <v>116</v>
      </c>
      <c r="E24" s="26" t="s">
        <v>116</v>
      </c>
      <c r="F24" s="26" t="s">
        <v>116</v>
      </c>
      <c r="G24" s="26" t="s">
        <v>116</v>
      </c>
      <c r="H24" s="26" t="s">
        <v>116</v>
      </c>
      <c r="I24" s="26" t="s">
        <v>116</v>
      </c>
      <c r="J24" s="26" t="s">
        <v>116</v>
      </c>
      <c r="K24" s="26">
        <v>1004</v>
      </c>
      <c r="L24" s="26">
        <v>1004</v>
      </c>
      <c r="M24" s="26">
        <v>3</v>
      </c>
      <c r="N24" s="49">
        <v>1008</v>
      </c>
      <c r="O24" s="23"/>
    </row>
    <row r="25" spans="2:15" x14ac:dyDescent="0.15">
      <c r="B25" s="35" t="s">
        <v>139</v>
      </c>
      <c r="C25" s="49" t="s">
        <v>116</v>
      </c>
      <c r="D25" s="26" t="s">
        <v>116</v>
      </c>
      <c r="E25" s="26">
        <v>-4374</v>
      </c>
      <c r="F25" s="26" t="s">
        <v>116</v>
      </c>
      <c r="G25" s="26" t="s">
        <v>116</v>
      </c>
      <c r="H25" s="26" t="s">
        <v>116</v>
      </c>
      <c r="I25" s="26" t="s">
        <v>116</v>
      </c>
      <c r="J25" s="26" t="s">
        <v>116</v>
      </c>
      <c r="K25" s="26">
        <v>-556</v>
      </c>
      <c r="L25" s="26">
        <v>-4930</v>
      </c>
      <c r="M25" s="26">
        <v>-54</v>
      </c>
      <c r="N25" s="49">
        <v>-4984</v>
      </c>
      <c r="O25" s="23"/>
    </row>
    <row r="26" spans="2:15" x14ac:dyDescent="0.15">
      <c r="B26" s="35" t="s">
        <v>140</v>
      </c>
      <c r="C26" s="49" t="s">
        <v>116</v>
      </c>
      <c r="D26" s="26" t="s">
        <v>116</v>
      </c>
      <c r="E26" s="26">
        <v>-42</v>
      </c>
      <c r="F26" s="26">
        <v>-11</v>
      </c>
      <c r="G26" s="26" t="s">
        <v>116</v>
      </c>
      <c r="H26" s="26" t="s">
        <v>116</v>
      </c>
      <c r="I26" s="26" t="s">
        <v>116</v>
      </c>
      <c r="J26" s="26" t="s">
        <v>116</v>
      </c>
      <c r="K26" s="26" t="s">
        <v>116</v>
      </c>
      <c r="L26" s="26">
        <v>-54</v>
      </c>
      <c r="M26" s="26">
        <v>-27</v>
      </c>
      <c r="N26" s="49">
        <v>-80</v>
      </c>
      <c r="O26" s="23"/>
    </row>
    <row r="27" spans="2:15" x14ac:dyDescent="0.15">
      <c r="B27" s="35" t="s">
        <v>141</v>
      </c>
      <c r="C27" s="49" t="s">
        <v>116</v>
      </c>
      <c r="D27" s="26" t="s">
        <v>116</v>
      </c>
      <c r="E27" s="26">
        <v>100</v>
      </c>
      <c r="F27" s="26" t="s">
        <v>116</v>
      </c>
      <c r="G27" s="26" t="s">
        <v>116</v>
      </c>
      <c r="H27" s="26" t="s">
        <v>116</v>
      </c>
      <c r="I27" s="26" t="s">
        <v>116</v>
      </c>
      <c r="J27" s="26" t="s">
        <v>116</v>
      </c>
      <c r="K27" s="26" t="s">
        <v>116</v>
      </c>
      <c r="L27" s="26">
        <v>100</v>
      </c>
      <c r="M27" s="26">
        <v>-50</v>
      </c>
      <c r="N27" s="49">
        <v>51</v>
      </c>
      <c r="O27" s="23"/>
    </row>
    <row r="28" spans="2:15" ht="13" x14ac:dyDescent="0.15">
      <c r="B28" s="17" t="s">
        <v>144</v>
      </c>
      <c r="C28" s="38">
        <v>1283</v>
      </c>
      <c r="D28" s="38">
        <v>14551</v>
      </c>
      <c r="E28" s="38">
        <v>147830</v>
      </c>
      <c r="F28" s="38">
        <v>-3431</v>
      </c>
      <c r="G28" s="38">
        <v>1472</v>
      </c>
      <c r="H28" s="38">
        <v>-676</v>
      </c>
      <c r="I28" s="38">
        <v>-966</v>
      </c>
      <c r="J28" s="38">
        <v>476</v>
      </c>
      <c r="K28" s="38">
        <v>15155</v>
      </c>
      <c r="L28" s="38">
        <v>175694</v>
      </c>
      <c r="M28" s="38">
        <v>14218</v>
      </c>
      <c r="N28" s="38">
        <v>189912</v>
      </c>
      <c r="O28" s="26"/>
    </row>
    <row r="29" spans="2:15" ht="13" thickBot="1" x14ac:dyDescent="0.2">
      <c r="B29" s="35"/>
      <c r="C29" s="49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49"/>
    </row>
    <row r="30" spans="2:15" ht="13" x14ac:dyDescent="0.15">
      <c r="B30" s="18" t="s">
        <v>146</v>
      </c>
      <c r="C30" s="18">
        <v>1283</v>
      </c>
      <c r="D30" s="18">
        <v>14551</v>
      </c>
      <c r="E30" s="18">
        <v>147830</v>
      </c>
      <c r="F30" s="18">
        <v>-3431</v>
      </c>
      <c r="G30" s="18">
        <v>1472</v>
      </c>
      <c r="H30" s="18">
        <v>-676</v>
      </c>
      <c r="I30" s="18">
        <v>-966</v>
      </c>
      <c r="J30" s="18">
        <v>476</v>
      </c>
      <c r="K30" s="18">
        <v>15155</v>
      </c>
      <c r="L30" s="18">
        <v>175694</v>
      </c>
      <c r="M30" s="18">
        <v>14218</v>
      </c>
      <c r="N30" s="18">
        <v>189912</v>
      </c>
    </row>
    <row r="31" spans="2:15" x14ac:dyDescent="0.15">
      <c r="B31" s="35" t="s">
        <v>147</v>
      </c>
      <c r="C31" s="49" t="s">
        <v>116</v>
      </c>
      <c r="D31" s="26" t="s">
        <v>116</v>
      </c>
      <c r="E31" s="26">
        <v>-726</v>
      </c>
      <c r="F31" s="26" t="s">
        <v>116</v>
      </c>
      <c r="G31" s="26" t="s">
        <v>116</v>
      </c>
      <c r="H31" s="26" t="s">
        <v>116</v>
      </c>
      <c r="I31" s="26" t="s">
        <v>116</v>
      </c>
      <c r="J31" s="26" t="s">
        <v>116</v>
      </c>
      <c r="K31" s="26" t="s">
        <v>116</v>
      </c>
      <c r="L31" s="26">
        <v>-726</v>
      </c>
      <c r="M31" s="26" t="s">
        <v>116</v>
      </c>
      <c r="N31" s="26">
        <v>-726</v>
      </c>
    </row>
    <row r="32" spans="2:15" ht="13" x14ac:dyDescent="0.15">
      <c r="B32" s="17" t="s">
        <v>148</v>
      </c>
      <c r="C32" s="38">
        <v>1283</v>
      </c>
      <c r="D32" s="38">
        <v>14551</v>
      </c>
      <c r="E32" s="38">
        <v>147104</v>
      </c>
      <c r="F32" s="38">
        <v>-3431</v>
      </c>
      <c r="G32" s="38">
        <v>1472</v>
      </c>
      <c r="H32" s="38">
        <v>-676</v>
      </c>
      <c r="I32" s="38">
        <v>-966</v>
      </c>
      <c r="J32" s="38">
        <v>476</v>
      </c>
      <c r="K32" s="38">
        <v>15155</v>
      </c>
      <c r="L32" s="38">
        <v>174968</v>
      </c>
      <c r="M32" s="38">
        <v>14218</v>
      </c>
      <c r="N32" s="38">
        <v>189186</v>
      </c>
    </row>
    <row r="33" spans="2:15" x14ac:dyDescent="0.15">
      <c r="B33" s="35" t="s">
        <v>134</v>
      </c>
      <c r="C33" s="49" t="s">
        <v>116</v>
      </c>
      <c r="D33" s="26" t="s">
        <v>116</v>
      </c>
      <c r="E33" s="26">
        <v>10721</v>
      </c>
      <c r="F33" s="26" t="s">
        <v>116</v>
      </c>
      <c r="G33" s="26" t="s">
        <v>116</v>
      </c>
      <c r="H33" s="26" t="s">
        <v>116</v>
      </c>
      <c r="I33" s="26" t="s">
        <v>116</v>
      </c>
      <c r="J33" s="26" t="s">
        <v>116</v>
      </c>
      <c r="K33" s="26">
        <v>630</v>
      </c>
      <c r="L33" s="26">
        <v>11351</v>
      </c>
      <c r="M33" s="26">
        <v>1043</v>
      </c>
      <c r="N33" s="26">
        <v>12394</v>
      </c>
    </row>
    <row r="34" spans="2:15" ht="13" thickBot="1" x14ac:dyDescent="0.2">
      <c r="B34" s="35" t="s">
        <v>135</v>
      </c>
      <c r="C34" s="49" t="s">
        <v>116</v>
      </c>
      <c r="D34" s="26" t="s">
        <v>116</v>
      </c>
      <c r="E34" s="26">
        <v>1589</v>
      </c>
      <c r="F34" s="26">
        <v>1275</v>
      </c>
      <c r="G34" s="26">
        <v>-1006</v>
      </c>
      <c r="H34" s="26">
        <v>409</v>
      </c>
      <c r="I34" s="26">
        <v>61</v>
      </c>
      <c r="J34" s="26">
        <v>-174</v>
      </c>
      <c r="K34" s="26" t="s">
        <v>116</v>
      </c>
      <c r="L34" s="26">
        <v>2154</v>
      </c>
      <c r="M34" s="26">
        <v>-183</v>
      </c>
      <c r="N34" s="26">
        <v>1971</v>
      </c>
    </row>
    <row r="35" spans="2:15" ht="13" x14ac:dyDescent="0.15">
      <c r="B35" s="18" t="s">
        <v>136</v>
      </c>
      <c r="C35" s="22" t="s">
        <v>116</v>
      </c>
      <c r="D35" s="22" t="s">
        <v>116</v>
      </c>
      <c r="E35" s="22">
        <v>12310</v>
      </c>
      <c r="F35" s="22">
        <v>1275</v>
      </c>
      <c r="G35" s="22">
        <v>-1006</v>
      </c>
      <c r="H35" s="22">
        <v>409</v>
      </c>
      <c r="I35" s="22">
        <v>61</v>
      </c>
      <c r="J35" s="22">
        <v>-174</v>
      </c>
      <c r="K35" s="22">
        <v>630</v>
      </c>
      <c r="L35" s="22">
        <v>13505</v>
      </c>
      <c r="M35" s="22">
        <v>860</v>
      </c>
      <c r="N35" s="22">
        <v>14365</v>
      </c>
    </row>
    <row r="36" spans="2:15" x14ac:dyDescent="0.15">
      <c r="B36" s="35" t="s">
        <v>137</v>
      </c>
      <c r="C36" s="49" t="s">
        <v>116</v>
      </c>
      <c r="D36" s="26" t="s">
        <v>116</v>
      </c>
      <c r="E36" s="26">
        <v>1</v>
      </c>
      <c r="F36" s="26" t="s">
        <v>116</v>
      </c>
      <c r="G36" s="26" t="s">
        <v>116</v>
      </c>
      <c r="H36" s="26" t="s">
        <v>116</v>
      </c>
      <c r="I36" s="26">
        <v>-1</v>
      </c>
      <c r="J36" s="26" t="s">
        <v>116</v>
      </c>
      <c r="K36" s="26" t="s">
        <v>116</v>
      </c>
      <c r="L36" s="26" t="s">
        <v>116</v>
      </c>
      <c r="M36" s="26" t="s">
        <v>116</v>
      </c>
      <c r="N36" s="26" t="s">
        <v>116</v>
      </c>
    </row>
    <row r="37" spans="2:15" x14ac:dyDescent="0.15">
      <c r="B37" s="35" t="s">
        <v>138</v>
      </c>
      <c r="C37" s="49" t="s">
        <v>116</v>
      </c>
      <c r="D37" s="26" t="s">
        <v>116</v>
      </c>
      <c r="E37" s="26" t="s">
        <v>116</v>
      </c>
      <c r="F37" s="26" t="s">
        <v>116</v>
      </c>
      <c r="G37" s="26" t="s">
        <v>116</v>
      </c>
      <c r="H37" s="26" t="s">
        <v>116</v>
      </c>
      <c r="I37" s="26" t="s">
        <v>116</v>
      </c>
      <c r="J37" s="26" t="s">
        <v>116</v>
      </c>
      <c r="K37" s="26">
        <v>-1244</v>
      </c>
      <c r="L37" s="26">
        <v>-1244</v>
      </c>
      <c r="M37" s="26">
        <v>106</v>
      </c>
      <c r="N37" s="26">
        <v>-1138</v>
      </c>
    </row>
    <row r="38" spans="2:15" x14ac:dyDescent="0.15">
      <c r="B38" s="35" t="s">
        <v>139</v>
      </c>
      <c r="C38" s="49" t="s">
        <v>116</v>
      </c>
      <c r="D38" s="26" t="s">
        <v>116</v>
      </c>
      <c r="E38" s="26">
        <v>-4524</v>
      </c>
      <c r="F38" s="26" t="s">
        <v>116</v>
      </c>
      <c r="G38" s="26" t="s">
        <v>116</v>
      </c>
      <c r="H38" s="26" t="s">
        <v>116</v>
      </c>
      <c r="I38" s="26" t="s">
        <v>116</v>
      </c>
      <c r="J38" s="26" t="s">
        <v>116</v>
      </c>
      <c r="K38" s="26">
        <v>-651</v>
      </c>
      <c r="L38" s="26">
        <v>-5175</v>
      </c>
      <c r="M38" s="26">
        <v>-604</v>
      </c>
      <c r="N38" s="26">
        <v>-5779</v>
      </c>
    </row>
    <row r="39" spans="2:15" x14ac:dyDescent="0.15">
      <c r="B39" s="35" t="s">
        <v>140</v>
      </c>
      <c r="C39" s="49" t="s">
        <v>116</v>
      </c>
      <c r="D39" s="26" t="s">
        <v>116</v>
      </c>
      <c r="E39" s="26">
        <v>-4</v>
      </c>
      <c r="F39" s="26">
        <v>0</v>
      </c>
      <c r="G39" s="26" t="s">
        <v>116</v>
      </c>
      <c r="H39" s="26" t="s">
        <v>116</v>
      </c>
      <c r="I39" s="26" t="s">
        <v>116</v>
      </c>
      <c r="J39" s="26" t="s">
        <v>116</v>
      </c>
      <c r="K39" s="26" t="s">
        <v>116</v>
      </c>
      <c r="L39" s="26">
        <v>-4</v>
      </c>
      <c r="M39" s="26">
        <v>4</v>
      </c>
      <c r="N39" s="26" t="s">
        <v>116</v>
      </c>
    </row>
    <row r="40" spans="2:15" x14ac:dyDescent="0.15">
      <c r="B40" s="35" t="s">
        <v>141</v>
      </c>
      <c r="C40" s="49" t="s">
        <v>116</v>
      </c>
      <c r="D40" s="26" t="s">
        <v>116</v>
      </c>
      <c r="E40" s="26">
        <v>243</v>
      </c>
      <c r="F40" s="26" t="s">
        <v>116</v>
      </c>
      <c r="G40" s="26" t="s">
        <v>116</v>
      </c>
      <c r="H40" s="26" t="s">
        <v>116</v>
      </c>
      <c r="I40" s="26" t="s">
        <v>116</v>
      </c>
      <c r="J40" s="26">
        <v>1</v>
      </c>
      <c r="K40" s="26" t="s">
        <v>116</v>
      </c>
      <c r="L40" s="26">
        <v>244</v>
      </c>
      <c r="M40" s="26">
        <v>-147</v>
      </c>
      <c r="N40" s="26">
        <v>97</v>
      </c>
    </row>
    <row r="41" spans="2:15" ht="13" x14ac:dyDescent="0.15">
      <c r="B41" s="17" t="s">
        <v>149</v>
      </c>
      <c r="C41" s="38">
        <v>1283</v>
      </c>
      <c r="D41" s="38">
        <v>14551</v>
      </c>
      <c r="E41" s="38">
        <v>155130</v>
      </c>
      <c r="F41" s="38">
        <v>-2156</v>
      </c>
      <c r="G41" s="38">
        <v>466</v>
      </c>
      <c r="H41" s="38">
        <v>-267</v>
      </c>
      <c r="I41" s="38">
        <v>-906</v>
      </c>
      <c r="J41" s="38">
        <v>303</v>
      </c>
      <c r="K41" s="38">
        <v>13890</v>
      </c>
      <c r="L41" s="38">
        <v>182294</v>
      </c>
      <c r="M41" s="38">
        <v>14437</v>
      </c>
      <c r="N41" s="38">
        <v>196731</v>
      </c>
      <c r="O41" s="24"/>
    </row>
    <row r="42" spans="2:15" x14ac:dyDescent="0.15">
      <c r="B42" s="35"/>
      <c r="C42" s="49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2:15" ht="13" x14ac:dyDescent="0.15">
      <c r="B43" s="17" t="s">
        <v>150</v>
      </c>
      <c r="C43" s="38">
        <v>1283</v>
      </c>
      <c r="D43" s="38">
        <v>14551</v>
      </c>
      <c r="E43" s="38">
        <v>155130</v>
      </c>
      <c r="F43" s="38">
        <v>-2156</v>
      </c>
      <c r="G43" s="38">
        <v>466</v>
      </c>
      <c r="H43" s="38">
        <v>-267</v>
      </c>
      <c r="I43" s="38">
        <v>-906</v>
      </c>
      <c r="J43" s="38">
        <v>303</v>
      </c>
      <c r="K43" s="38">
        <v>13890</v>
      </c>
      <c r="L43" s="38">
        <v>182294</v>
      </c>
      <c r="M43" s="38">
        <v>14437</v>
      </c>
      <c r="N43" s="38">
        <v>196731</v>
      </c>
    </row>
    <row r="44" spans="2:15" x14ac:dyDescent="0.15">
      <c r="B44" s="35" t="s">
        <v>134</v>
      </c>
      <c r="C44" s="49" t="s">
        <v>116</v>
      </c>
      <c r="D44" s="26" t="s">
        <v>116</v>
      </c>
      <c r="E44" s="26">
        <v>6673</v>
      </c>
      <c r="F44" s="26" t="s">
        <v>116</v>
      </c>
      <c r="G44" s="26" t="s">
        <v>116</v>
      </c>
      <c r="H44" s="26" t="s">
        <v>116</v>
      </c>
      <c r="I44" s="26" t="s">
        <v>116</v>
      </c>
      <c r="J44" s="26" t="s">
        <v>116</v>
      </c>
      <c r="K44" s="26">
        <v>650</v>
      </c>
      <c r="L44" s="26">
        <v>7323</v>
      </c>
      <c r="M44" s="26">
        <v>-419</v>
      </c>
      <c r="N44" s="26">
        <v>6904</v>
      </c>
    </row>
    <row r="45" spans="2:15" ht="13" thickBot="1" x14ac:dyDescent="0.2">
      <c r="B45" s="35" t="s">
        <v>135</v>
      </c>
      <c r="C45" s="49" t="s">
        <v>116</v>
      </c>
      <c r="D45" s="26" t="s">
        <v>116</v>
      </c>
      <c r="E45" s="26">
        <v>3216</v>
      </c>
      <c r="F45" s="26">
        <v>-3219</v>
      </c>
      <c r="G45" s="26">
        <v>1300</v>
      </c>
      <c r="H45" s="26">
        <v>201</v>
      </c>
      <c r="I45" s="26">
        <v>1154</v>
      </c>
      <c r="J45" s="26">
        <v>-161</v>
      </c>
      <c r="K45" s="26" t="s">
        <v>116</v>
      </c>
      <c r="L45" s="26">
        <v>2492</v>
      </c>
      <c r="M45" s="26">
        <v>408</v>
      </c>
      <c r="N45" s="26">
        <v>2900</v>
      </c>
    </row>
    <row r="46" spans="2:15" ht="13" x14ac:dyDescent="0.15">
      <c r="B46" s="18" t="s">
        <v>136</v>
      </c>
      <c r="C46" s="22" t="s">
        <v>116</v>
      </c>
      <c r="D46" s="22" t="s">
        <v>116</v>
      </c>
      <c r="E46" s="22">
        <v>9888</v>
      </c>
      <c r="F46" s="22">
        <v>-3219</v>
      </c>
      <c r="G46" s="22">
        <v>1300</v>
      </c>
      <c r="H46" s="22">
        <v>201</v>
      </c>
      <c r="I46" s="22">
        <v>1154</v>
      </c>
      <c r="J46" s="22">
        <v>-161</v>
      </c>
      <c r="K46" s="22">
        <v>650</v>
      </c>
      <c r="L46" s="22">
        <v>9815</v>
      </c>
      <c r="M46" s="22">
        <v>-11</v>
      </c>
      <c r="N46" s="22">
        <v>9804</v>
      </c>
    </row>
    <row r="47" spans="2:15" x14ac:dyDescent="0.15">
      <c r="B47" s="35" t="s">
        <v>137</v>
      </c>
      <c r="C47" s="49" t="s">
        <v>116</v>
      </c>
      <c r="D47" s="26" t="s">
        <v>116</v>
      </c>
      <c r="E47" s="26">
        <v>-31</v>
      </c>
      <c r="F47" s="26" t="s">
        <v>116</v>
      </c>
      <c r="G47" s="26" t="s">
        <v>116</v>
      </c>
      <c r="H47" s="26" t="s">
        <v>116</v>
      </c>
      <c r="I47" s="26">
        <v>31</v>
      </c>
      <c r="J47" s="26" t="s">
        <v>116</v>
      </c>
      <c r="K47" s="26" t="s">
        <v>116</v>
      </c>
      <c r="L47" s="26" t="s">
        <v>116</v>
      </c>
      <c r="M47" s="26" t="s">
        <v>116</v>
      </c>
      <c r="N47" s="26" t="s">
        <v>116</v>
      </c>
    </row>
    <row r="48" spans="2:15" x14ac:dyDescent="0.15">
      <c r="B48" s="35" t="s">
        <v>138</v>
      </c>
      <c r="C48" s="49" t="s">
        <v>116</v>
      </c>
      <c r="D48" s="26" t="s">
        <v>116</v>
      </c>
      <c r="E48" s="26">
        <v>0</v>
      </c>
      <c r="F48" s="26" t="s">
        <v>116</v>
      </c>
      <c r="G48" s="26" t="s">
        <v>116</v>
      </c>
      <c r="H48" s="26" t="s">
        <v>116</v>
      </c>
      <c r="I48" s="26" t="s">
        <v>116</v>
      </c>
      <c r="J48" s="26" t="s">
        <v>116</v>
      </c>
      <c r="K48" s="26">
        <v>400</v>
      </c>
      <c r="L48" s="26">
        <v>400</v>
      </c>
      <c r="M48" s="26">
        <v>29</v>
      </c>
      <c r="N48" s="26">
        <v>428</v>
      </c>
    </row>
    <row r="49" spans="2:17" x14ac:dyDescent="0.15">
      <c r="B49" s="35" t="s">
        <v>139</v>
      </c>
      <c r="C49" s="49" t="s">
        <v>116</v>
      </c>
      <c r="D49" s="26" t="s">
        <v>116</v>
      </c>
      <c r="E49" s="26">
        <v>-3171</v>
      </c>
      <c r="F49" s="26" t="s">
        <v>116</v>
      </c>
      <c r="G49" s="26" t="s">
        <v>116</v>
      </c>
      <c r="H49" s="26" t="s">
        <v>116</v>
      </c>
      <c r="I49" s="26" t="s">
        <v>116</v>
      </c>
      <c r="J49" s="26" t="s">
        <v>116</v>
      </c>
      <c r="K49" s="26">
        <v>-664</v>
      </c>
      <c r="L49" s="26">
        <v>-3835</v>
      </c>
      <c r="M49" s="26">
        <v>-625</v>
      </c>
      <c r="N49" s="26">
        <v>-4460</v>
      </c>
    </row>
    <row r="50" spans="2:17" x14ac:dyDescent="0.15">
      <c r="B50" s="35" t="s">
        <v>140</v>
      </c>
      <c r="C50" s="49" t="s">
        <v>116</v>
      </c>
      <c r="D50" s="26" t="s">
        <v>116</v>
      </c>
      <c r="E50" s="26">
        <v>-430</v>
      </c>
      <c r="F50" s="26">
        <v>48</v>
      </c>
      <c r="G50" s="26">
        <v>0</v>
      </c>
      <c r="H50" s="26">
        <v>0</v>
      </c>
      <c r="I50" s="26">
        <v>14</v>
      </c>
      <c r="J50" s="26">
        <v>0</v>
      </c>
      <c r="K50" s="26" t="s">
        <v>116</v>
      </c>
      <c r="L50" s="26">
        <v>-367</v>
      </c>
      <c r="M50" s="26">
        <v>719</v>
      </c>
      <c r="N50" s="26">
        <v>352</v>
      </c>
    </row>
    <row r="51" spans="2:17" x14ac:dyDescent="0.15">
      <c r="B51" s="35" t="s">
        <v>141</v>
      </c>
      <c r="C51" s="49" t="s">
        <v>116</v>
      </c>
      <c r="D51" s="26" t="s">
        <v>116</v>
      </c>
      <c r="E51" s="26">
        <v>-30</v>
      </c>
      <c r="F51" s="26" t="s">
        <v>116</v>
      </c>
      <c r="G51" s="26" t="s">
        <v>116</v>
      </c>
      <c r="H51" s="26" t="s">
        <v>116</v>
      </c>
      <c r="I51" s="26" t="s">
        <v>116</v>
      </c>
      <c r="J51" s="26">
        <v>1</v>
      </c>
      <c r="K51" s="26" t="s">
        <v>116</v>
      </c>
      <c r="L51" s="26">
        <v>-30</v>
      </c>
      <c r="M51" s="26">
        <v>229</v>
      </c>
      <c r="N51" s="26">
        <v>199</v>
      </c>
    </row>
    <row r="52" spans="2:17" ht="13" x14ac:dyDescent="0.15">
      <c r="B52" s="17" t="s">
        <v>151</v>
      </c>
      <c r="C52" s="38">
        <v>1283</v>
      </c>
      <c r="D52" s="38">
        <v>14551</v>
      </c>
      <c r="E52" s="38">
        <v>161357</v>
      </c>
      <c r="F52" s="38">
        <v>-5326</v>
      </c>
      <c r="G52" s="38">
        <v>1766</v>
      </c>
      <c r="H52" s="38">
        <v>-66</v>
      </c>
      <c r="I52" s="38">
        <v>293</v>
      </c>
      <c r="J52" s="38">
        <v>142</v>
      </c>
      <c r="K52" s="38">
        <v>14275</v>
      </c>
      <c r="L52" s="38">
        <v>188277</v>
      </c>
      <c r="M52" s="38">
        <v>14777</v>
      </c>
      <c r="N52" s="38">
        <v>203054</v>
      </c>
      <c r="O52" s="24"/>
      <c r="P52" s="24"/>
      <c r="Q52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47BA-61D2-B245-9957-F2BAD5209356}">
  <dimension ref="B1:V49"/>
  <sheetViews>
    <sheetView zoomScale="161" workbookViewId="0"/>
  </sheetViews>
  <sheetFormatPr baseColWidth="10" defaultRowHeight="12" x14ac:dyDescent="0.15"/>
  <cols>
    <col min="1" max="1" width="2.1640625" style="7" customWidth="1"/>
    <col min="2" max="3" width="24.5" style="7" bestFit="1" customWidth="1"/>
    <col min="4" max="4" width="2.1640625" style="7" customWidth="1"/>
    <col min="5" max="5" width="7.6640625" style="7" bestFit="1" customWidth="1"/>
    <col min="6" max="6" width="2" style="7" bestFit="1" customWidth="1"/>
    <col min="7" max="7" width="6" style="7" bestFit="1" customWidth="1"/>
    <col min="8" max="8" width="2.1640625" style="7" customWidth="1"/>
    <col min="9" max="9" width="7.6640625" style="7" bestFit="1" customWidth="1"/>
    <col min="10" max="10" width="2" style="7" bestFit="1" customWidth="1"/>
    <col min="11" max="11" width="6" style="7" bestFit="1" customWidth="1"/>
    <col min="12" max="12" width="2.1640625" style="7" customWidth="1"/>
    <col min="13" max="13" width="7.6640625" style="7" bestFit="1" customWidth="1"/>
    <col min="14" max="14" width="2" style="7" bestFit="1" customWidth="1"/>
    <col min="15" max="15" width="6" style="7" bestFit="1" customWidth="1"/>
    <col min="16" max="16" width="2.1640625" style="7" customWidth="1"/>
    <col min="17" max="17" width="44.83203125" style="7" bestFit="1" customWidth="1"/>
    <col min="18" max="16384" width="10.83203125" style="7"/>
  </cols>
  <sheetData>
    <row r="1" spans="2:22" x14ac:dyDescent="0.15">
      <c r="B1" s="32" t="s">
        <v>152</v>
      </c>
    </row>
    <row r="3" spans="2:22" x14ac:dyDescent="0.15">
      <c r="B3" s="227" t="s">
        <v>153</v>
      </c>
      <c r="C3" s="229"/>
      <c r="D3" s="55"/>
      <c r="E3" s="227" t="s">
        <v>197</v>
      </c>
      <c r="F3" s="228"/>
      <c r="G3" s="229"/>
      <c r="H3" s="55"/>
      <c r="I3" s="227" t="s">
        <v>198</v>
      </c>
      <c r="J3" s="228"/>
      <c r="K3" s="229"/>
      <c r="L3" s="55"/>
      <c r="M3" s="227" t="s">
        <v>199</v>
      </c>
      <c r="N3" s="228"/>
      <c r="O3" s="229"/>
      <c r="Q3" s="57" t="s">
        <v>154</v>
      </c>
    </row>
    <row r="4" spans="2:22" x14ac:dyDescent="0.15">
      <c r="D4" s="60"/>
      <c r="E4" s="61"/>
      <c r="F4" s="60"/>
      <c r="R4" s="58"/>
      <c r="S4" s="59"/>
      <c r="T4" s="58"/>
      <c r="U4" s="58"/>
      <c r="V4" s="58"/>
    </row>
    <row r="5" spans="2:22" x14ac:dyDescent="0.15">
      <c r="B5" s="218" t="s">
        <v>155</v>
      </c>
      <c r="C5" s="62" t="s">
        <v>156</v>
      </c>
      <c r="D5" s="60"/>
      <c r="E5" s="63">
        <f>'P&amp;L'!D4</f>
        <v>322284</v>
      </c>
      <c r="F5" s="214" t="s">
        <v>157</v>
      </c>
      <c r="G5" s="64">
        <f>E5/E6</f>
        <v>15.961369883366764</v>
      </c>
      <c r="I5" s="63">
        <f>'P&amp;L'!E4</f>
        <v>324656</v>
      </c>
      <c r="J5" s="214" t="s">
        <v>157</v>
      </c>
      <c r="K5" s="64">
        <f>I5/I6</f>
        <v>15.107657227948533</v>
      </c>
      <c r="M5" s="63">
        <f>'P&amp;L'!F4</f>
        <v>321913</v>
      </c>
      <c r="N5" s="214" t="s">
        <v>157</v>
      </c>
      <c r="O5" s="64">
        <f>M5/M6</f>
        <v>15.369443781332061</v>
      </c>
      <c r="Q5" s="92" t="s">
        <v>158</v>
      </c>
    </row>
    <row r="6" spans="2:22" x14ac:dyDescent="0.15">
      <c r="B6" s="219"/>
      <c r="C6" s="66" t="s">
        <v>159</v>
      </c>
      <c r="D6" s="60"/>
      <c r="E6" s="67">
        <f>AVERAGE('Balance Sheet'!C21,'Balance Sheet'!D21)</f>
        <v>20191.5</v>
      </c>
      <c r="F6" s="215"/>
      <c r="G6" s="69"/>
      <c r="I6" s="91">
        <f>AVERAGE('Balance Sheet'!D21,'Balance Sheet'!E21)</f>
        <v>21489.5</v>
      </c>
      <c r="J6" s="215"/>
      <c r="K6" s="69"/>
      <c r="M6" s="67">
        <f>AVERAGE('Balance Sheet'!E21,'Balance Sheet'!F21)</f>
        <v>20945</v>
      </c>
      <c r="N6" s="215"/>
      <c r="O6" s="69"/>
      <c r="Q6" s="93"/>
    </row>
    <row r="7" spans="2:22" x14ac:dyDescent="0.15">
      <c r="D7" s="60"/>
      <c r="E7" s="61"/>
      <c r="F7" s="60"/>
      <c r="I7" s="61"/>
      <c r="J7" s="60"/>
      <c r="M7" s="61"/>
      <c r="N7" s="60"/>
    </row>
    <row r="8" spans="2:22" x14ac:dyDescent="0.15">
      <c r="D8" s="60"/>
      <c r="E8" s="61"/>
      <c r="F8" s="60"/>
      <c r="I8" s="61"/>
      <c r="J8" s="60"/>
      <c r="M8" s="61"/>
      <c r="N8" s="60"/>
    </row>
    <row r="9" spans="2:22" ht="26" x14ac:dyDescent="0.15">
      <c r="B9" s="218" t="s">
        <v>160</v>
      </c>
      <c r="C9" s="62">
        <v>365</v>
      </c>
      <c r="D9" s="60"/>
      <c r="E9" s="71">
        <v>365</v>
      </c>
      <c r="F9" s="214" t="s">
        <v>157</v>
      </c>
      <c r="G9" s="64">
        <f>E9/E10</f>
        <v>22.867711397401049</v>
      </c>
      <c r="I9" s="71">
        <v>365</v>
      </c>
      <c r="J9" s="214" t="s">
        <v>157</v>
      </c>
      <c r="K9" s="64">
        <f>I9/I10</f>
        <v>24.159933899265685</v>
      </c>
      <c r="M9" s="71">
        <v>365</v>
      </c>
      <c r="N9" s="214" t="s">
        <v>157</v>
      </c>
      <c r="O9" s="64">
        <f>M9/M10</f>
        <v>23.748419604054511</v>
      </c>
      <c r="Q9" s="65" t="s">
        <v>161</v>
      </c>
    </row>
    <row r="10" spans="2:22" ht="12" customHeight="1" x14ac:dyDescent="0.15">
      <c r="B10" s="219"/>
      <c r="C10" s="66" t="s">
        <v>162</v>
      </c>
      <c r="D10" s="60"/>
      <c r="E10" s="72">
        <f>G5</f>
        <v>15.961369883366764</v>
      </c>
      <c r="F10" s="215"/>
      <c r="G10" s="69"/>
      <c r="I10" s="72">
        <f>K5</f>
        <v>15.107657227948533</v>
      </c>
      <c r="J10" s="215"/>
      <c r="K10" s="69"/>
      <c r="M10" s="72">
        <f>O5</f>
        <v>15.369443781332061</v>
      </c>
      <c r="N10" s="215"/>
      <c r="O10" s="69"/>
      <c r="Q10" s="70"/>
    </row>
    <row r="11" spans="2:22" x14ac:dyDescent="0.15">
      <c r="D11" s="60"/>
      <c r="E11" s="61"/>
      <c r="F11" s="60"/>
      <c r="I11" s="61"/>
      <c r="J11" s="60"/>
      <c r="M11" s="61"/>
      <c r="N11" s="60"/>
    </row>
    <row r="12" spans="2:22" x14ac:dyDescent="0.15">
      <c r="D12" s="60"/>
      <c r="E12" s="61"/>
      <c r="F12" s="60"/>
      <c r="I12" s="61"/>
      <c r="J12" s="60"/>
      <c r="M12" s="61"/>
      <c r="N12" s="60"/>
    </row>
    <row r="13" spans="2:22" ht="26" x14ac:dyDescent="0.15">
      <c r="B13" s="218" t="s">
        <v>163</v>
      </c>
      <c r="C13" s="62" t="s">
        <v>164</v>
      </c>
      <c r="D13" s="60"/>
      <c r="E13" s="63">
        <f>-'P&amp;L'!D5</f>
        <v>261262</v>
      </c>
      <c r="F13" s="214" t="s">
        <v>157</v>
      </c>
      <c r="G13" s="73">
        <f>E13/E14</f>
        <v>4.9352916174734354</v>
      </c>
      <c r="I13" s="63">
        <f>-'P&amp;L'!E5</f>
        <v>265184</v>
      </c>
      <c r="J13" s="214" t="s">
        <v>157</v>
      </c>
      <c r="K13" s="73">
        <f>I13/I14</f>
        <v>4.8074981191250989</v>
      </c>
      <c r="M13" s="63">
        <f>-'P&amp;L'!F5</f>
        <v>270671</v>
      </c>
      <c r="N13" s="214" t="s">
        <v>157</v>
      </c>
      <c r="O13" s="73">
        <f>M13/M14</f>
        <v>4.8007484790975683</v>
      </c>
      <c r="Q13" s="65" t="s">
        <v>165</v>
      </c>
    </row>
    <row r="14" spans="2:22" ht="12" customHeight="1" x14ac:dyDescent="0.15">
      <c r="B14" s="219"/>
      <c r="C14" s="66" t="s">
        <v>166</v>
      </c>
      <c r="D14" s="60"/>
      <c r="E14" s="67">
        <f>AVERAGE('Balance Sheet'!C20,'Balance Sheet'!D20)</f>
        <v>52937.5</v>
      </c>
      <c r="F14" s="215"/>
      <c r="G14" s="69"/>
      <c r="I14" s="67">
        <f>AVERAGE('Balance Sheet'!D20,'Balance Sheet'!E20)</f>
        <v>55160.5</v>
      </c>
      <c r="J14" s="215"/>
      <c r="K14" s="69"/>
      <c r="M14" s="67">
        <f>AVERAGE('Balance Sheet'!E20,'Balance Sheet'!F20)</f>
        <v>56381</v>
      </c>
      <c r="N14" s="215"/>
      <c r="O14" s="69"/>
      <c r="Q14" s="70"/>
    </row>
    <row r="15" spans="2:22" x14ac:dyDescent="0.15">
      <c r="D15" s="60"/>
      <c r="E15" s="61"/>
      <c r="F15" s="60"/>
      <c r="I15" s="61"/>
      <c r="J15" s="60"/>
      <c r="M15" s="61"/>
      <c r="N15" s="60"/>
    </row>
    <row r="16" spans="2:22" x14ac:dyDescent="0.15">
      <c r="D16" s="60"/>
      <c r="E16" s="61"/>
      <c r="F16" s="60"/>
      <c r="I16" s="61"/>
      <c r="J16" s="60"/>
      <c r="M16" s="61"/>
      <c r="N16" s="60"/>
    </row>
    <row r="17" spans="2:21" ht="13" x14ac:dyDescent="0.15">
      <c r="B17" s="218" t="s">
        <v>167</v>
      </c>
      <c r="C17" s="62">
        <v>365</v>
      </c>
      <c r="D17" s="60"/>
      <c r="E17" s="71">
        <v>365</v>
      </c>
      <c r="F17" s="214" t="s">
        <v>157</v>
      </c>
      <c r="G17" s="64">
        <f>E17/E18</f>
        <v>73.957129241910422</v>
      </c>
      <c r="I17" s="71">
        <v>365</v>
      </c>
      <c r="J17" s="214" t="s">
        <v>157</v>
      </c>
      <c r="K17" s="64">
        <f>I17/I18</f>
        <v>75.923066625437428</v>
      </c>
      <c r="M17" s="71">
        <v>365</v>
      </c>
      <c r="N17" s="214" t="s">
        <v>157</v>
      </c>
      <c r="O17" s="64">
        <f>M17/M18</f>
        <v>76.029811099083389</v>
      </c>
      <c r="Q17" s="65" t="s">
        <v>168</v>
      </c>
    </row>
    <row r="18" spans="2:21" ht="12" customHeight="1" x14ac:dyDescent="0.15">
      <c r="B18" s="219"/>
      <c r="C18" s="66" t="s">
        <v>169</v>
      </c>
      <c r="D18" s="60"/>
      <c r="E18" s="74">
        <f>G13</f>
        <v>4.9352916174734354</v>
      </c>
      <c r="F18" s="215"/>
      <c r="G18" s="69"/>
      <c r="I18" s="74">
        <f>K13</f>
        <v>4.8074981191250989</v>
      </c>
      <c r="J18" s="215"/>
      <c r="K18" s="69"/>
      <c r="M18" s="74">
        <f>O13</f>
        <v>4.8007484790975683</v>
      </c>
      <c r="N18" s="215"/>
      <c r="O18" s="69"/>
      <c r="Q18" s="70"/>
    </row>
    <row r="19" spans="2:21" x14ac:dyDescent="0.15">
      <c r="D19" s="60"/>
      <c r="E19" s="61"/>
      <c r="F19" s="60"/>
      <c r="I19" s="61"/>
      <c r="J19" s="60"/>
      <c r="M19" s="61"/>
      <c r="N19" s="60"/>
    </row>
    <row r="20" spans="2:21" x14ac:dyDescent="0.15">
      <c r="D20" s="60"/>
      <c r="E20" s="61"/>
      <c r="F20" s="60"/>
      <c r="I20" s="61"/>
      <c r="J20" s="60"/>
      <c r="M20" s="61"/>
      <c r="N20" s="60"/>
    </row>
    <row r="21" spans="2:21" ht="26" x14ac:dyDescent="0.15">
      <c r="B21" s="218" t="s">
        <v>170</v>
      </c>
      <c r="C21" s="62" t="s">
        <v>171</v>
      </c>
      <c r="D21" s="60"/>
      <c r="E21" s="63">
        <f>('Balance Sheet'!D20-'Balance Sheet'!C20)+(-'P&amp;L'!D5)</f>
        <v>262589</v>
      </c>
      <c r="F21" s="214" t="s">
        <v>157</v>
      </c>
      <c r="G21" s="73">
        <f>E21/E22</f>
        <v>8.8059491272489474</v>
      </c>
      <c r="I21" s="63">
        <f>('Balance Sheet'!E20-'Balance Sheet'!D20)+(-'P&amp;L'!E5)</f>
        <v>268303</v>
      </c>
      <c r="J21" s="214" t="s">
        <v>157</v>
      </c>
      <c r="K21" s="73">
        <f>I21/I22</f>
        <v>8.844230547360441</v>
      </c>
      <c r="M21" s="63">
        <f>('Balance Sheet'!E20-'Balance Sheet'!F20)+(-'P&amp;L'!F5)</f>
        <v>271349</v>
      </c>
      <c r="N21" s="214" t="s">
        <v>157</v>
      </c>
      <c r="O21" s="73">
        <f>M21/M22</f>
        <v>9.0056420298031927</v>
      </c>
      <c r="Q21" s="65" t="s">
        <v>172</v>
      </c>
    </row>
    <row r="22" spans="2:21" ht="12" customHeight="1" x14ac:dyDescent="0.15">
      <c r="B22" s="219"/>
      <c r="C22" s="66" t="s">
        <v>174</v>
      </c>
      <c r="D22" s="60"/>
      <c r="E22" s="67">
        <f>AVERAGE('Balance Sheet'!C57,'Balance Sheet'!D57)</f>
        <v>29819.5</v>
      </c>
      <c r="F22" s="215"/>
      <c r="G22" s="69"/>
      <c r="I22" s="67">
        <f>AVERAGE('Balance Sheet'!D57,'Balance Sheet'!E57)</f>
        <v>30336.5</v>
      </c>
      <c r="J22" s="215"/>
      <c r="K22" s="69"/>
      <c r="M22" s="67">
        <f>AVERAGE('Balance Sheet'!E57,'Balance Sheet'!F57)</f>
        <v>30131</v>
      </c>
      <c r="N22" s="215"/>
      <c r="O22" s="69"/>
      <c r="Q22" s="70"/>
    </row>
    <row r="23" spans="2:21" ht="16" x14ac:dyDescent="0.2">
      <c r="D23" s="60"/>
      <c r="E23" s="61"/>
      <c r="F23" s="60"/>
      <c r="I23" s="61"/>
      <c r="J23" s="60"/>
      <c r="M23" s="61"/>
      <c r="N23" s="60"/>
      <c r="Q23" s="88" t="s">
        <v>173</v>
      </c>
      <c r="R23" s="90"/>
      <c r="S23" s="1"/>
      <c r="T23" s="1"/>
      <c r="U23" s="1"/>
    </row>
    <row r="24" spans="2:21" x14ac:dyDescent="0.15">
      <c r="D24" s="60"/>
      <c r="E24" s="61"/>
      <c r="F24" s="60"/>
      <c r="I24" s="61"/>
      <c r="J24" s="60"/>
      <c r="M24" s="61"/>
      <c r="N24" s="60"/>
    </row>
    <row r="25" spans="2:21" ht="26" x14ac:dyDescent="0.15">
      <c r="B25" s="218" t="s">
        <v>175</v>
      </c>
      <c r="C25" s="62">
        <v>365</v>
      </c>
      <c r="D25" s="60"/>
      <c r="E25" s="71">
        <v>365</v>
      </c>
      <c r="F25" s="214" t="s">
        <v>157</v>
      </c>
      <c r="G25" s="64">
        <f>E25/E26</f>
        <v>41.449251491875138</v>
      </c>
      <c r="I25" s="71">
        <v>365</v>
      </c>
      <c r="J25" s="214" t="s">
        <v>157</v>
      </c>
      <c r="K25" s="64">
        <f>I25/I26</f>
        <v>41.269842305154988</v>
      </c>
      <c r="M25" s="71">
        <v>365</v>
      </c>
      <c r="N25" s="214" t="s">
        <v>157</v>
      </c>
      <c r="O25" s="64">
        <f>M25/M26</f>
        <v>40.530147522194667</v>
      </c>
      <c r="Q25" s="75" t="s">
        <v>176</v>
      </c>
    </row>
    <row r="26" spans="2:21" ht="12" customHeight="1" x14ac:dyDescent="0.15">
      <c r="B26" s="219"/>
      <c r="C26" s="66" t="s">
        <v>177</v>
      </c>
      <c r="D26" s="60"/>
      <c r="E26" s="74">
        <f>G21</f>
        <v>8.8059491272489474</v>
      </c>
      <c r="F26" s="215"/>
      <c r="G26" s="69"/>
      <c r="I26" s="74">
        <f>K21</f>
        <v>8.844230547360441</v>
      </c>
      <c r="J26" s="215"/>
      <c r="K26" s="69"/>
      <c r="M26" s="74">
        <f>O21</f>
        <v>9.0056420298031927</v>
      </c>
      <c r="N26" s="215"/>
      <c r="O26" s="69"/>
      <c r="Q26" s="76"/>
    </row>
    <row r="27" spans="2:21" x14ac:dyDescent="0.15">
      <c r="D27" s="60"/>
      <c r="E27" s="61"/>
      <c r="F27" s="60"/>
      <c r="I27" s="61"/>
      <c r="J27" s="60"/>
      <c r="M27" s="61"/>
      <c r="N27" s="60"/>
    </row>
    <row r="28" spans="2:21" x14ac:dyDescent="0.15">
      <c r="D28" s="60"/>
      <c r="E28" s="61"/>
      <c r="F28" s="60"/>
      <c r="I28" s="61"/>
      <c r="J28" s="60"/>
      <c r="M28" s="61"/>
      <c r="N28" s="60"/>
    </row>
    <row r="29" spans="2:21" ht="13" x14ac:dyDescent="0.15">
      <c r="B29" s="218" t="s">
        <v>178</v>
      </c>
      <c r="C29" s="62" t="s">
        <v>179</v>
      </c>
      <c r="D29" s="60"/>
      <c r="E29" s="63">
        <f>'P&amp;L'!D4</f>
        <v>322284</v>
      </c>
      <c r="F29" s="214" t="s">
        <v>157</v>
      </c>
      <c r="G29" s="73">
        <f>E29/E30</f>
        <v>4.9290204175269556</v>
      </c>
      <c r="I29" s="63">
        <f>'P&amp;L'!E4</f>
        <v>324656</v>
      </c>
      <c r="J29" s="214" t="s">
        <v>157</v>
      </c>
      <c r="K29" s="73">
        <f>I29/I30</f>
        <v>4.6938669288378687</v>
      </c>
      <c r="M29" s="63">
        <f>'P&amp;L'!F4</f>
        <v>321913</v>
      </c>
      <c r="N29" s="214" t="s">
        <v>157</v>
      </c>
      <c r="O29" s="73">
        <f>M29/M30</f>
        <v>3.4837749652340011</v>
      </c>
      <c r="Q29" s="65" t="s">
        <v>180</v>
      </c>
    </row>
    <row r="30" spans="2:21" ht="12" customHeight="1" x14ac:dyDescent="0.15">
      <c r="B30" s="219"/>
      <c r="C30" s="66" t="s">
        <v>181</v>
      </c>
      <c r="D30" s="60"/>
      <c r="E30" s="67">
        <f>AVERAGE('Balance Sheet'!C7,'Balance Sheet'!D7)</f>
        <v>65385</v>
      </c>
      <c r="F30" s="215"/>
      <c r="G30" s="69"/>
      <c r="I30" s="67">
        <f>AVERAGE('Balance Sheet'!D7,'Balance Sheet'!E7)</f>
        <v>69166</v>
      </c>
      <c r="J30" s="215"/>
      <c r="K30" s="69"/>
      <c r="M30" s="67">
        <f>AVERAGE('Balance Sheet'!E6,'Balance Sheet'!F6)</f>
        <v>92403.5</v>
      </c>
      <c r="N30" s="215"/>
      <c r="O30" s="69"/>
      <c r="Q30" s="70"/>
    </row>
    <row r="31" spans="2:21" x14ac:dyDescent="0.15">
      <c r="D31" s="60"/>
      <c r="E31" s="61"/>
      <c r="F31" s="60"/>
      <c r="I31" s="61"/>
      <c r="J31" s="60"/>
      <c r="M31" s="61"/>
      <c r="N31" s="60"/>
    </row>
    <row r="32" spans="2:21" x14ac:dyDescent="0.15">
      <c r="D32" s="60"/>
      <c r="E32" s="61"/>
      <c r="F32" s="60"/>
      <c r="I32" s="61"/>
      <c r="J32" s="60"/>
      <c r="M32" s="61"/>
      <c r="N32" s="60"/>
    </row>
    <row r="33" spans="2:17" ht="26" x14ac:dyDescent="0.15">
      <c r="B33" s="218" t="s">
        <v>182</v>
      </c>
      <c r="C33" s="62" t="s">
        <v>179</v>
      </c>
      <c r="D33" s="60"/>
      <c r="E33" s="63">
        <f>'P&amp;L'!D4</f>
        <v>322284</v>
      </c>
      <c r="F33" s="214" t="s">
        <v>157</v>
      </c>
      <c r="G33" s="73">
        <f>E33/E34</f>
        <v>8.5706991463447064</v>
      </c>
      <c r="I33" s="63">
        <f>'P&amp;L'!E4</f>
        <v>324656</v>
      </c>
      <c r="J33" s="214" t="s">
        <v>157</v>
      </c>
      <c r="K33" s="73">
        <f>I33/I34</f>
        <v>10.479196927148898</v>
      </c>
      <c r="M33" s="63">
        <f>'P&amp;L'!F4</f>
        <v>321913</v>
      </c>
      <c r="N33" s="214" t="s">
        <v>157</v>
      </c>
      <c r="O33" s="73">
        <f>M33/M34</f>
        <v>12.998182992812728</v>
      </c>
      <c r="Q33" s="65" t="s">
        <v>183</v>
      </c>
    </row>
    <row r="34" spans="2:17" ht="12" customHeight="1" x14ac:dyDescent="0.15">
      <c r="B34" s="219"/>
      <c r="C34" s="66" t="s">
        <v>184</v>
      </c>
      <c r="D34" s="60"/>
      <c r="E34" s="67">
        <f>AVERAGE('Balance Sheet'!C29,'Balance Sheet'!D29)-AVERAGE('Balance Sheet'!C64,'Balance Sheet'!D64)</f>
        <v>37603</v>
      </c>
      <c r="F34" s="215"/>
      <c r="G34" s="69"/>
      <c r="I34" s="67">
        <f>AVERAGE('Balance Sheet'!D29,'Balance Sheet'!E29)-AVERAGE('Balance Sheet'!D64,'Balance Sheet'!E64)</f>
        <v>30981</v>
      </c>
      <c r="J34" s="215"/>
      <c r="K34" s="69"/>
      <c r="M34" s="67">
        <f>AVERAGE('Balance Sheet'!E29,'Balance Sheet'!F29)-AVERAGE('Balance Sheet'!E64,'Balance Sheet'!F64)</f>
        <v>24766</v>
      </c>
      <c r="N34" s="215"/>
      <c r="O34" s="69"/>
      <c r="Q34" s="70"/>
    </row>
    <row r="35" spans="2:17" x14ac:dyDescent="0.15">
      <c r="B35" s="77"/>
      <c r="C35" s="60"/>
      <c r="D35" s="60"/>
      <c r="E35" s="61"/>
      <c r="F35" s="60"/>
      <c r="I35" s="61"/>
      <c r="J35" s="60"/>
      <c r="M35" s="61"/>
      <c r="N35" s="60"/>
    </row>
    <row r="36" spans="2:17" x14ac:dyDescent="0.15">
      <c r="D36" s="60"/>
      <c r="E36" s="61"/>
      <c r="F36" s="60"/>
      <c r="I36" s="61"/>
      <c r="J36" s="60"/>
      <c r="M36" s="61"/>
      <c r="N36" s="60"/>
    </row>
    <row r="37" spans="2:17" ht="26" x14ac:dyDescent="0.15">
      <c r="B37" s="218" t="s">
        <v>185</v>
      </c>
      <c r="C37" s="62" t="s">
        <v>179</v>
      </c>
      <c r="D37" s="60"/>
      <c r="E37" s="63">
        <f>'P&amp;L'!D4</f>
        <v>322284</v>
      </c>
      <c r="F37" s="214" t="s">
        <v>157</v>
      </c>
      <c r="G37" s="73">
        <f>E37/E38</f>
        <v>0.55358564556564127</v>
      </c>
      <c r="I37" s="63">
        <f>'P&amp;L'!E4</f>
        <v>324656</v>
      </c>
      <c r="J37" s="214" t="s">
        <v>157</v>
      </c>
      <c r="K37" s="73">
        <f>I37/I38</f>
        <v>0.52650775232456215</v>
      </c>
      <c r="M37" s="63">
        <f>'P&amp;L'!F4</f>
        <v>321913</v>
      </c>
      <c r="N37" s="214" t="s">
        <v>157</v>
      </c>
      <c r="O37" s="73">
        <f>M37/M38</f>
        <v>0.50402388654205665</v>
      </c>
      <c r="Q37" s="65" t="s">
        <v>186</v>
      </c>
    </row>
    <row r="38" spans="2:17" ht="12" customHeight="1" x14ac:dyDescent="0.15">
      <c r="B38" s="219"/>
      <c r="C38" s="66" t="s">
        <v>187</v>
      </c>
      <c r="D38" s="60"/>
      <c r="E38" s="67">
        <f>AVERAGE('Balance Sheet'!C31,'Balance Sheet'!D31)</f>
        <v>582175.5</v>
      </c>
      <c r="F38" s="215"/>
      <c r="G38" s="69"/>
      <c r="I38" s="67">
        <f>AVERAGE('Balance Sheet'!D31,'Balance Sheet'!E31)</f>
        <v>616621.5</v>
      </c>
      <c r="J38" s="215"/>
      <c r="K38" s="69"/>
      <c r="M38" s="67">
        <f>AVERAGE('Balance Sheet'!E31,'Balance Sheet'!F31)</f>
        <v>638686</v>
      </c>
      <c r="N38" s="215"/>
      <c r="O38" s="69"/>
      <c r="Q38" s="70"/>
    </row>
    <row r="39" spans="2:17" x14ac:dyDescent="0.15">
      <c r="D39" s="60"/>
      <c r="E39" s="61"/>
      <c r="F39" s="60"/>
      <c r="I39" s="61"/>
      <c r="J39" s="60"/>
      <c r="M39" s="61"/>
      <c r="N39" s="60"/>
    </row>
    <row r="40" spans="2:17" x14ac:dyDescent="0.15">
      <c r="D40" s="60"/>
      <c r="E40" s="61"/>
      <c r="F40" s="60"/>
      <c r="I40" s="61"/>
      <c r="J40" s="60"/>
      <c r="M40" s="61"/>
      <c r="N40" s="60"/>
    </row>
    <row r="41" spans="2:17" ht="39" x14ac:dyDescent="0.15">
      <c r="B41" s="78" t="s">
        <v>188</v>
      </c>
      <c r="C41" s="79" t="s">
        <v>189</v>
      </c>
      <c r="E41" s="80">
        <f>G9</f>
        <v>22.867711397401049</v>
      </c>
      <c r="F41" s="81" t="s">
        <v>157</v>
      </c>
      <c r="G41" s="64">
        <f>E41+E43-E45</f>
        <v>55.375589147436337</v>
      </c>
      <c r="I41" s="80">
        <f>K9</f>
        <v>24.159933899265685</v>
      </c>
      <c r="J41" s="81" t="s">
        <v>157</v>
      </c>
      <c r="K41" s="64">
        <f>I41+I43-I45</f>
        <v>58.813158219548122</v>
      </c>
      <c r="M41" s="80">
        <f>O9</f>
        <v>23.748419604054511</v>
      </c>
      <c r="N41" s="81" t="s">
        <v>157</v>
      </c>
      <c r="O41" s="64">
        <f>M41+M43-M45</f>
        <v>59.248083180943226</v>
      </c>
      <c r="Q41" s="65" t="s">
        <v>190</v>
      </c>
    </row>
    <row r="42" spans="2:17" ht="12" customHeight="1" x14ac:dyDescent="0.15">
      <c r="B42" s="82"/>
      <c r="C42" s="83"/>
      <c r="E42" s="84" t="s">
        <v>191</v>
      </c>
      <c r="G42" s="83"/>
      <c r="I42" s="84" t="s">
        <v>191</v>
      </c>
      <c r="K42" s="83"/>
      <c r="M42" s="84" t="s">
        <v>191</v>
      </c>
      <c r="O42" s="83"/>
      <c r="Q42" s="94"/>
    </row>
    <row r="43" spans="2:17" x14ac:dyDescent="0.15">
      <c r="B43" s="82"/>
      <c r="C43" s="83" t="s">
        <v>192</v>
      </c>
      <c r="E43" s="85">
        <f>G17</f>
        <v>73.957129241910422</v>
      </c>
      <c r="G43" s="83"/>
      <c r="I43" s="85">
        <f>K17</f>
        <v>75.923066625437428</v>
      </c>
      <c r="K43" s="83"/>
      <c r="M43" s="85">
        <f>O17</f>
        <v>76.029811099083389</v>
      </c>
      <c r="O43" s="83"/>
      <c r="Q43" s="94"/>
    </row>
    <row r="44" spans="2:17" x14ac:dyDescent="0.15">
      <c r="B44" s="82"/>
      <c r="C44" s="83"/>
      <c r="D44" s="60"/>
      <c r="E44" s="84" t="s">
        <v>116</v>
      </c>
      <c r="F44" s="60"/>
      <c r="G44" s="83"/>
      <c r="I44" s="84" t="s">
        <v>116</v>
      </c>
      <c r="J44" s="60"/>
      <c r="K44" s="83"/>
      <c r="M44" s="84" t="s">
        <v>116</v>
      </c>
      <c r="N44" s="60"/>
      <c r="O44" s="83"/>
      <c r="Q44" s="94"/>
    </row>
    <row r="45" spans="2:17" x14ac:dyDescent="0.15">
      <c r="B45" s="86"/>
      <c r="C45" s="69" t="s">
        <v>193</v>
      </c>
      <c r="D45" s="60"/>
      <c r="E45" s="74">
        <f>G25</f>
        <v>41.449251491875138</v>
      </c>
      <c r="F45" s="87"/>
      <c r="G45" s="69"/>
      <c r="I45" s="74">
        <f>K25</f>
        <v>41.269842305154988</v>
      </c>
      <c r="J45" s="87"/>
      <c r="K45" s="69"/>
      <c r="M45" s="74">
        <f>O25</f>
        <v>40.530147522194667</v>
      </c>
      <c r="N45" s="87"/>
      <c r="O45" s="69"/>
      <c r="Q45" s="70"/>
    </row>
    <row r="46" spans="2:17" x14ac:dyDescent="0.15">
      <c r="D46" s="60"/>
      <c r="E46" s="60"/>
      <c r="F46" s="60"/>
      <c r="K46" s="60"/>
      <c r="O46" s="60"/>
    </row>
    <row r="47" spans="2:17" x14ac:dyDescent="0.15">
      <c r="D47" s="60"/>
      <c r="E47" s="61"/>
      <c r="F47" s="60"/>
    </row>
    <row r="48" spans="2:17" ht="13" x14ac:dyDescent="0.15">
      <c r="B48" s="218" t="s">
        <v>194</v>
      </c>
      <c r="C48" s="62" t="s">
        <v>179</v>
      </c>
      <c r="D48" s="60"/>
      <c r="E48" s="63">
        <f>'P&amp;L'!D4</f>
        <v>322284</v>
      </c>
      <c r="F48" s="214" t="s">
        <v>157</v>
      </c>
      <c r="G48" s="73">
        <f>E48/E49</f>
        <v>1.7504019117966543</v>
      </c>
      <c r="I48" s="63">
        <f>'P&amp;L'!E4</f>
        <v>324656</v>
      </c>
      <c r="J48" s="214" t="s">
        <v>157</v>
      </c>
      <c r="K48" s="73">
        <f>I48/I49</f>
        <v>1.6793579607027671</v>
      </c>
      <c r="M48" s="63">
        <f>'P&amp;L'!F4</f>
        <v>321913</v>
      </c>
      <c r="N48" s="214" t="s">
        <v>157</v>
      </c>
      <c r="O48" s="73">
        <f>M48/M49</f>
        <v>1.6104306064509675</v>
      </c>
      <c r="Q48" s="65" t="s">
        <v>195</v>
      </c>
    </row>
    <row r="49" spans="2:17" ht="12" customHeight="1" x14ac:dyDescent="0.15">
      <c r="B49" s="219"/>
      <c r="C49" s="66" t="s">
        <v>196</v>
      </c>
      <c r="D49" s="60"/>
      <c r="E49" s="67">
        <f>AVERAGE('Balance Sheet'!C43,'Balance Sheet'!D43)</f>
        <v>184120</v>
      </c>
      <c r="F49" s="215"/>
      <c r="G49" s="69"/>
      <c r="I49" s="67">
        <f>AVERAGE('Balance Sheet'!D43,'Balance Sheet'!E43)</f>
        <v>193321.5</v>
      </c>
      <c r="J49" s="215"/>
      <c r="K49" s="69"/>
      <c r="M49" s="67">
        <f>AVERAGE('Balance Sheet'!E43,'Balance Sheet'!F43)</f>
        <v>199892.5</v>
      </c>
      <c r="N49" s="215"/>
      <c r="O49" s="69"/>
      <c r="Q49" s="70"/>
    </row>
  </sheetData>
  <mergeCells count="44">
    <mergeCell ref="B3:C3"/>
    <mergeCell ref="E3:G3"/>
    <mergeCell ref="I3:K3"/>
    <mergeCell ref="B5:B6"/>
    <mergeCell ref="F5:F6"/>
    <mergeCell ref="J5:J6"/>
    <mergeCell ref="B9:B10"/>
    <mergeCell ref="F9:F10"/>
    <mergeCell ref="J9:J10"/>
    <mergeCell ref="B13:B14"/>
    <mergeCell ref="F13:F14"/>
    <mergeCell ref="J13:J14"/>
    <mergeCell ref="B17:B18"/>
    <mergeCell ref="F17:F18"/>
    <mergeCell ref="J17:J18"/>
    <mergeCell ref="B21:B22"/>
    <mergeCell ref="F21:F22"/>
    <mergeCell ref="J21:J22"/>
    <mergeCell ref="F25:F26"/>
    <mergeCell ref="J25:J26"/>
    <mergeCell ref="B29:B30"/>
    <mergeCell ref="F29:F30"/>
    <mergeCell ref="J29:J30"/>
    <mergeCell ref="N48:N49"/>
    <mergeCell ref="B48:B49"/>
    <mergeCell ref="F48:F49"/>
    <mergeCell ref="J48:J49"/>
    <mergeCell ref="M3:O3"/>
    <mergeCell ref="N5:N6"/>
    <mergeCell ref="N9:N10"/>
    <mergeCell ref="N13:N14"/>
    <mergeCell ref="N17:N18"/>
    <mergeCell ref="B33:B34"/>
    <mergeCell ref="F33:F34"/>
    <mergeCell ref="J33:J34"/>
    <mergeCell ref="B37:B38"/>
    <mergeCell ref="F37:F38"/>
    <mergeCell ref="J37:J38"/>
    <mergeCell ref="B25:B26"/>
    <mergeCell ref="N21:N22"/>
    <mergeCell ref="N25:N26"/>
    <mergeCell ref="N29:N30"/>
    <mergeCell ref="N33:N34"/>
    <mergeCell ref="N37:N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CC85-E9CC-8A44-8E72-AB94DB731419}">
  <dimension ref="B1:Q39"/>
  <sheetViews>
    <sheetView zoomScale="249" workbookViewId="0"/>
  </sheetViews>
  <sheetFormatPr baseColWidth="10" defaultRowHeight="12" x14ac:dyDescent="0.15"/>
  <cols>
    <col min="1" max="1" width="2.1640625" style="7" customWidth="1"/>
    <col min="2" max="2" width="18" style="7" bestFit="1" customWidth="1"/>
    <col min="3" max="3" width="31.83203125" style="7" bestFit="1" customWidth="1"/>
    <col min="4" max="4" width="2.1640625" style="7" customWidth="1"/>
    <col min="5" max="5" width="7.6640625" style="7" bestFit="1" customWidth="1"/>
    <col min="6" max="6" width="2" style="7" bestFit="1" customWidth="1"/>
    <col min="7" max="7" width="6" style="7" bestFit="1" customWidth="1"/>
    <col min="8" max="8" width="2.1640625" style="7" customWidth="1"/>
    <col min="9" max="9" width="7.6640625" style="7" bestFit="1" customWidth="1"/>
    <col min="10" max="10" width="2" style="7" bestFit="1" customWidth="1"/>
    <col min="11" max="11" width="6" style="7" bestFit="1" customWidth="1"/>
    <col min="12" max="12" width="2.1640625" style="7" customWidth="1"/>
    <col min="13" max="13" width="7.6640625" style="7" bestFit="1" customWidth="1"/>
    <col min="14" max="14" width="2" style="7" bestFit="1" customWidth="1"/>
    <col min="15" max="15" width="6.33203125" style="7" bestFit="1" customWidth="1"/>
    <col min="16" max="16" width="2.1640625" style="7" customWidth="1"/>
    <col min="17" max="17" width="40.1640625" style="7" bestFit="1" customWidth="1"/>
    <col min="18" max="16384" width="10.83203125" style="7"/>
  </cols>
  <sheetData>
    <row r="1" spans="2:17" x14ac:dyDescent="0.15">
      <c r="B1" s="32" t="s">
        <v>200</v>
      </c>
    </row>
    <row r="3" spans="2:17" x14ac:dyDescent="0.15">
      <c r="B3" s="227" t="s">
        <v>153</v>
      </c>
      <c r="C3" s="229"/>
      <c r="D3" s="55"/>
      <c r="E3" s="227" t="s">
        <v>197</v>
      </c>
      <c r="F3" s="228"/>
      <c r="G3" s="229"/>
      <c r="H3" s="55"/>
      <c r="I3" s="227" t="s">
        <v>198</v>
      </c>
      <c r="J3" s="228"/>
      <c r="K3" s="229"/>
      <c r="L3" s="55"/>
      <c r="M3" s="227" t="s">
        <v>199</v>
      </c>
      <c r="N3" s="228"/>
      <c r="O3" s="229"/>
      <c r="Q3" s="57" t="s">
        <v>154</v>
      </c>
    </row>
    <row r="5" spans="2:17" ht="12" customHeight="1" x14ac:dyDescent="0.15">
      <c r="B5" s="218" t="s">
        <v>201</v>
      </c>
      <c r="C5" s="62" t="s">
        <v>202</v>
      </c>
      <c r="D5" s="60"/>
      <c r="E5" s="63">
        <f>'Balance Sheet'!D29</f>
        <v>239644</v>
      </c>
      <c r="F5" s="214" t="s">
        <v>157</v>
      </c>
      <c r="G5" s="73">
        <f>E5/E6</f>
        <v>1.1640323693132693</v>
      </c>
      <c r="I5" s="63">
        <f>'Balance Sheet'!E29</f>
        <v>245231</v>
      </c>
      <c r="J5" s="214" t="s">
        <v>157</v>
      </c>
      <c r="K5" s="73">
        <f>I5/I6</f>
        <v>1.1298937057395215</v>
      </c>
      <c r="M5" s="63">
        <f>'Balance Sheet'!F29</f>
        <v>247865</v>
      </c>
      <c r="N5" s="214" t="s">
        <v>157</v>
      </c>
      <c r="O5" s="73">
        <f>M5/M6</f>
        <v>1.0942059375344884</v>
      </c>
      <c r="Q5" s="230" t="s">
        <v>203</v>
      </c>
    </row>
    <row r="6" spans="2:17" x14ac:dyDescent="0.15">
      <c r="B6" s="219"/>
      <c r="C6" s="66" t="s">
        <v>204</v>
      </c>
      <c r="D6" s="60"/>
      <c r="E6" s="67">
        <f>'Balance Sheet'!D64</f>
        <v>205874</v>
      </c>
      <c r="F6" s="215"/>
      <c r="G6" s="69"/>
      <c r="I6" s="67">
        <f>'Balance Sheet'!E64</f>
        <v>217039</v>
      </c>
      <c r="J6" s="215"/>
      <c r="K6" s="69"/>
      <c r="M6" s="67">
        <f>'Balance Sheet'!F64</f>
        <v>226525</v>
      </c>
      <c r="N6" s="215"/>
      <c r="O6" s="69"/>
      <c r="Q6" s="231"/>
    </row>
    <row r="9" spans="2:17" ht="12" customHeight="1" x14ac:dyDescent="0.15">
      <c r="B9" s="218" t="s">
        <v>205</v>
      </c>
      <c r="C9" s="62" t="s">
        <v>206</v>
      </c>
      <c r="D9" s="60"/>
      <c r="E9" s="71">
        <f>SUM('Balance Sheet'!D21+'Balance Sheet'!D26+'Balance Sheet'!D27)</f>
        <v>92070</v>
      </c>
      <c r="F9" s="214" t="s">
        <v>157</v>
      </c>
      <c r="G9" s="73">
        <f>E9/E10</f>
        <v>0.44721528702021623</v>
      </c>
      <c r="I9" s="71">
        <f>SUM('Balance Sheet'!E21+'Balance Sheet'!E26+'Balance Sheet'!E27)</f>
        <v>88752</v>
      </c>
      <c r="J9" s="214" t="s">
        <v>157</v>
      </c>
      <c r="K9" s="73">
        <f>I9/I10</f>
        <v>0.40892189882924268</v>
      </c>
      <c r="M9" s="71">
        <f>SUM('Balance Sheet'!F21+'Balance Sheet'!F26+'Balance Sheet'!F27)</f>
        <v>89083</v>
      </c>
      <c r="N9" s="214" t="s">
        <v>157</v>
      </c>
      <c r="O9" s="73">
        <f>M9/M10</f>
        <v>0.39325902218298203</v>
      </c>
      <c r="Q9" s="230" t="s">
        <v>207</v>
      </c>
    </row>
    <row r="10" spans="2:17" x14ac:dyDescent="0.15">
      <c r="B10" s="219"/>
      <c r="C10" s="66" t="s">
        <v>204</v>
      </c>
      <c r="D10" s="60"/>
      <c r="E10" s="99">
        <f>'Balance Sheet'!D64</f>
        <v>205874</v>
      </c>
      <c r="F10" s="215"/>
      <c r="G10" s="69"/>
      <c r="I10" s="67">
        <f>'Balance Sheet'!E64</f>
        <v>217039</v>
      </c>
      <c r="J10" s="215"/>
      <c r="K10" s="69"/>
      <c r="M10" s="67">
        <f>'Balance Sheet'!F64</f>
        <v>226525</v>
      </c>
      <c r="N10" s="215"/>
      <c r="O10" s="69"/>
      <c r="Q10" s="231"/>
    </row>
    <row r="13" spans="2:17" ht="12" customHeight="1" x14ac:dyDescent="0.15">
      <c r="B13" s="218" t="s">
        <v>208</v>
      </c>
      <c r="C13" s="62" t="s">
        <v>209</v>
      </c>
      <c r="D13" s="60"/>
      <c r="E13" s="71">
        <f>'Balance Sheet'!D27+'Balance Sheet'!D26</f>
        <v>70221</v>
      </c>
      <c r="F13" s="214" t="s">
        <v>157</v>
      </c>
      <c r="G13" s="73">
        <f>E13/E14</f>
        <v>0.34108726696911701</v>
      </c>
      <c r="I13" s="71">
        <f>'Balance Sheet'!E27+'Balance Sheet'!E26</f>
        <v>67622</v>
      </c>
      <c r="J13" s="214" t="s">
        <v>157</v>
      </c>
      <c r="K13" s="73">
        <f>I13/I14</f>
        <v>0.3115661240606527</v>
      </c>
      <c r="M13" s="71">
        <f>'Balance Sheet'!F27+'Balance Sheet'!F26</f>
        <v>68323</v>
      </c>
      <c r="N13" s="214" t="s">
        <v>157</v>
      </c>
      <c r="O13" s="73">
        <f>M13/M14</f>
        <v>0.30161350844277673</v>
      </c>
      <c r="Q13" s="230" t="s">
        <v>210</v>
      </c>
    </row>
    <row r="14" spans="2:17" x14ac:dyDescent="0.15">
      <c r="B14" s="219"/>
      <c r="C14" s="66" t="s">
        <v>204</v>
      </c>
      <c r="D14" s="60"/>
      <c r="E14" s="99">
        <f>'Balance Sheet'!D64</f>
        <v>205874</v>
      </c>
      <c r="F14" s="215"/>
      <c r="G14" s="69"/>
      <c r="I14" s="67">
        <f>'Balance Sheet'!E64</f>
        <v>217039</v>
      </c>
      <c r="J14" s="215"/>
      <c r="K14" s="69"/>
      <c r="M14" s="67">
        <f>'Balance Sheet'!F64</f>
        <v>226525</v>
      </c>
      <c r="N14" s="215"/>
      <c r="O14" s="69"/>
      <c r="Q14" s="231"/>
    </row>
    <row r="17" spans="2:17" ht="12" customHeight="1" x14ac:dyDescent="0.15">
      <c r="B17" s="225" t="s">
        <v>211</v>
      </c>
      <c r="C17" s="62" t="s">
        <v>206</v>
      </c>
      <c r="D17" s="60"/>
      <c r="E17" s="71">
        <f>'Balance Sheet'!D27+'Balance Sheet'!D26+'Balance Sheet'!D21</f>
        <v>92070</v>
      </c>
      <c r="F17" s="214" t="s">
        <v>157</v>
      </c>
      <c r="G17" s="73">
        <f>E17/E18</f>
        <v>106.73172203519024</v>
      </c>
      <c r="I17" s="71">
        <f>'Balance Sheet'!E27+'Balance Sheet'!E26+'Balance Sheet'!E21</f>
        <v>88752</v>
      </c>
      <c r="J17" s="214" t="s">
        <v>157</v>
      </c>
      <c r="K17" s="73">
        <f>I17/I18</f>
        <v>101.05274978943757</v>
      </c>
      <c r="M17" s="71">
        <f>'Balance Sheet'!F27+'Balance Sheet'!F26+'Balance Sheet'!F21</f>
        <v>89083</v>
      </c>
      <c r="N17" s="214" t="s">
        <v>157</v>
      </c>
      <c r="O17" s="73">
        <f>M17/M18</f>
        <v>99.538648747933621</v>
      </c>
      <c r="Q17" s="230" t="s">
        <v>212</v>
      </c>
    </row>
    <row r="18" spans="2:17" x14ac:dyDescent="0.15">
      <c r="B18" s="226"/>
      <c r="C18" s="66" t="s">
        <v>213</v>
      </c>
      <c r="D18" s="60"/>
      <c r="E18" s="99">
        <f>-('P&amp;L'!D5+'P&amp;L'!D7+'P&amp;L'!D8+'P&amp;L'!D10)/365</f>
        <v>862.63013698630141</v>
      </c>
      <c r="F18" s="215"/>
      <c r="G18" s="69"/>
      <c r="I18" s="99">
        <f>-('P&amp;L'!E5+'P&amp;L'!E7+'P&amp;L'!E8+'P&amp;L'!E10)/365</f>
        <v>878.27397260273972</v>
      </c>
      <c r="J18" s="215"/>
      <c r="K18" s="69"/>
      <c r="M18" s="99">
        <f>-('P&amp;L'!F5+'P&amp;L'!F7+'P&amp;L'!F8+'P&amp;L'!F10)/365</f>
        <v>894.95890410958907</v>
      </c>
      <c r="N18" s="215"/>
      <c r="O18" s="69"/>
      <c r="Q18" s="231"/>
    </row>
    <row r="19" spans="2:17" ht="16" x14ac:dyDescent="0.2">
      <c r="Q19"/>
    </row>
    <row r="20" spans="2:17" x14ac:dyDescent="0.15">
      <c r="Q20" s="100" t="s">
        <v>214</v>
      </c>
    </row>
    <row r="39" spans="3:3" ht="16" x14ac:dyDescent="0.2">
      <c r="C39"/>
    </row>
  </sheetData>
  <mergeCells count="24">
    <mergeCell ref="B3:C3"/>
    <mergeCell ref="E3:G3"/>
    <mergeCell ref="I3:K3"/>
    <mergeCell ref="B5:B6"/>
    <mergeCell ref="F5:F6"/>
    <mergeCell ref="J5:J6"/>
    <mergeCell ref="Q5:Q6"/>
    <mergeCell ref="Q9:Q10"/>
    <mergeCell ref="Q13:Q14"/>
    <mergeCell ref="Q17:Q18"/>
    <mergeCell ref="B17:B18"/>
    <mergeCell ref="F17:F18"/>
    <mergeCell ref="J17:J18"/>
    <mergeCell ref="B9:B10"/>
    <mergeCell ref="F9:F10"/>
    <mergeCell ref="J9:J10"/>
    <mergeCell ref="B13:B14"/>
    <mergeCell ref="F13:F14"/>
    <mergeCell ref="J13:J14"/>
    <mergeCell ref="M3:O3"/>
    <mergeCell ref="N5:N6"/>
    <mergeCell ref="N9:N10"/>
    <mergeCell ref="N13:N14"/>
    <mergeCell ref="N17:N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3C99-CAD5-C948-8E2D-1942D2C84D1E}">
  <dimension ref="B1:Q34"/>
  <sheetViews>
    <sheetView zoomScale="254" workbookViewId="0"/>
  </sheetViews>
  <sheetFormatPr baseColWidth="10" defaultRowHeight="12" x14ac:dyDescent="0.15"/>
  <cols>
    <col min="1" max="1" width="2.1640625" style="7" customWidth="1"/>
    <col min="2" max="2" width="20.6640625" style="7" bestFit="1" customWidth="1"/>
    <col min="3" max="3" width="35.5" style="7" customWidth="1"/>
    <col min="4" max="4" width="2.1640625" style="7" customWidth="1"/>
    <col min="5" max="5" width="7.6640625" style="7" bestFit="1" customWidth="1"/>
    <col min="6" max="6" width="2" style="7" bestFit="1" customWidth="1"/>
    <col min="7" max="7" width="5.1640625" style="7" bestFit="1" customWidth="1"/>
    <col min="8" max="8" width="2.1640625" style="7" customWidth="1"/>
    <col min="9" max="9" width="7.6640625" style="7" bestFit="1" customWidth="1"/>
    <col min="10" max="10" width="2" style="7" bestFit="1" customWidth="1"/>
    <col min="11" max="11" width="5.1640625" style="7" bestFit="1" customWidth="1"/>
    <col min="12" max="12" width="2.1640625" style="7" customWidth="1"/>
    <col min="13" max="13" width="7.6640625" style="7" bestFit="1" customWidth="1"/>
    <col min="14" max="14" width="2" style="7" bestFit="1" customWidth="1"/>
    <col min="15" max="15" width="6.33203125" style="7" bestFit="1" customWidth="1"/>
    <col min="16" max="16" width="2.1640625" style="7" customWidth="1"/>
    <col min="17" max="17" width="27" style="7" bestFit="1" customWidth="1"/>
    <col min="18" max="16384" width="10.83203125" style="7"/>
  </cols>
  <sheetData>
    <row r="1" spans="2:17" x14ac:dyDescent="0.15">
      <c r="B1" s="32" t="s">
        <v>215</v>
      </c>
    </row>
    <row r="3" spans="2:17" x14ac:dyDescent="0.15">
      <c r="B3" s="222" t="s">
        <v>153</v>
      </c>
      <c r="C3" s="224"/>
      <c r="D3" s="58"/>
      <c r="E3" s="222" t="s">
        <v>197</v>
      </c>
      <c r="F3" s="223"/>
      <c r="G3" s="224"/>
      <c r="H3" s="58"/>
      <c r="I3" s="222" t="s">
        <v>198</v>
      </c>
      <c r="J3" s="223"/>
      <c r="K3" s="224"/>
      <c r="M3" s="222" t="s">
        <v>199</v>
      </c>
      <c r="N3" s="223"/>
      <c r="O3" s="224"/>
      <c r="Q3" s="57" t="s">
        <v>154</v>
      </c>
    </row>
    <row r="4" spans="2:17" x14ac:dyDescent="0.15">
      <c r="G4" s="29"/>
    </row>
    <row r="5" spans="2:17" x14ac:dyDescent="0.15">
      <c r="B5" s="218" t="s">
        <v>216</v>
      </c>
      <c r="C5" s="62" t="s">
        <v>217</v>
      </c>
      <c r="D5" s="60"/>
      <c r="E5" s="63">
        <f>('Balance Sheet'!$D$46+'Balance Sheet'!$D$47+'Balance Sheet'!$D$56+'Balance Sheet'!$D$59)</f>
        <v>253789</v>
      </c>
      <c r="F5" s="214" t="s">
        <v>157</v>
      </c>
      <c r="G5" s="101">
        <f>E5/E6</f>
        <v>1.3363505202409538</v>
      </c>
      <c r="I5" s="63">
        <f>('Balance Sheet'!$E$46+'Balance Sheet'!$E$47+'Balance Sheet'!$E$56+'Balance Sheet'!$E$59)</f>
        <v>274993</v>
      </c>
      <c r="J5" s="214" t="s">
        <v>157</v>
      </c>
      <c r="K5" s="101">
        <f>I5/I6</f>
        <v>1.3978122410804601</v>
      </c>
      <c r="M5" s="63">
        <f>('Balance Sheet'!$F$46+'Balance Sheet'!$F$47+'Balance Sheet'!$F$56+'Balance Sheet'!$F$59)</f>
        <v>284768</v>
      </c>
      <c r="N5" s="214" t="s">
        <v>157</v>
      </c>
      <c r="O5" s="101">
        <f>M5/M6</f>
        <v>1.4024249706974499</v>
      </c>
      <c r="Q5" s="216" t="s">
        <v>230</v>
      </c>
    </row>
    <row r="6" spans="2:17" x14ac:dyDescent="0.15">
      <c r="B6" s="219"/>
      <c r="C6" s="66" t="s">
        <v>218</v>
      </c>
      <c r="D6" s="60"/>
      <c r="E6" s="67">
        <f>'Balance Sheet'!$D$43</f>
        <v>189912</v>
      </c>
      <c r="F6" s="215"/>
      <c r="G6" s="102"/>
      <c r="I6" s="67">
        <f>'Balance Sheet'!$E$43</f>
        <v>196731</v>
      </c>
      <c r="J6" s="215"/>
      <c r="K6" s="102"/>
      <c r="M6" s="67">
        <f>'Balance Sheet'!$F$43</f>
        <v>203054</v>
      </c>
      <c r="N6" s="215"/>
      <c r="O6" s="102"/>
      <c r="Q6" s="217"/>
    </row>
    <row r="7" spans="2:17" x14ac:dyDescent="0.15">
      <c r="D7" s="60"/>
      <c r="E7" s="61"/>
      <c r="F7" s="60"/>
      <c r="G7" s="29"/>
      <c r="I7" s="61"/>
      <c r="J7" s="60"/>
      <c r="K7" s="29"/>
      <c r="M7" s="61"/>
      <c r="N7" s="60"/>
      <c r="O7" s="29"/>
    </row>
    <row r="8" spans="2:17" x14ac:dyDescent="0.15">
      <c r="D8" s="60"/>
      <c r="E8" s="61"/>
      <c r="F8" s="60"/>
      <c r="G8" s="29"/>
      <c r="I8" s="61"/>
      <c r="J8" s="60"/>
      <c r="K8" s="29"/>
      <c r="M8" s="61"/>
      <c r="N8" s="60"/>
      <c r="O8" s="29"/>
    </row>
    <row r="9" spans="2:17" x14ac:dyDescent="0.15">
      <c r="B9" s="218" t="s">
        <v>219</v>
      </c>
      <c r="C9" s="62" t="s">
        <v>217</v>
      </c>
      <c r="D9" s="60"/>
      <c r="E9" s="63">
        <f>('Balance Sheet'!$D$46+'Balance Sheet'!$D$47+'Balance Sheet'!$D$56+'Balance Sheet'!$D$59)</f>
        <v>253789</v>
      </c>
      <c r="F9" s="214" t="s">
        <v>157</v>
      </c>
      <c r="G9" s="101">
        <f>E9/E10</f>
        <v>0.57198203294560979</v>
      </c>
      <c r="I9" s="63">
        <f>('Balance Sheet'!$E$46+'Balance Sheet'!$E$47+'Balance Sheet'!$E$56+'Balance Sheet'!$E$59)</f>
        <v>274993</v>
      </c>
      <c r="J9" s="214" t="s">
        <v>157</v>
      </c>
      <c r="K9" s="101">
        <f>I9/I10</f>
        <v>0.58295316753016591</v>
      </c>
      <c r="M9" s="63">
        <f>('Balance Sheet'!$F$46+'Balance Sheet'!$F$47+'Balance Sheet'!$F$56+'Balance Sheet'!$F$59)</f>
        <v>284768</v>
      </c>
      <c r="N9" s="214" t="s">
        <v>157</v>
      </c>
      <c r="O9" s="101">
        <f>M9/M10</f>
        <v>0.58375391023775069</v>
      </c>
      <c r="Q9" s="216" t="s">
        <v>231</v>
      </c>
    </row>
    <row r="10" spans="2:17" x14ac:dyDescent="0.15">
      <c r="B10" s="219"/>
      <c r="C10" s="66" t="s">
        <v>220</v>
      </c>
      <c r="D10" s="60"/>
      <c r="E10" s="99">
        <f>('Balance Sheet'!$D$46+'Balance Sheet'!$D$47+'Balance Sheet'!$D$59+'Balance Sheet'!$D$56)+('Balance Sheet'!$D$43)</f>
        <v>443701</v>
      </c>
      <c r="F10" s="215"/>
      <c r="G10" s="102"/>
      <c r="I10" s="99">
        <f>('Balance Sheet'!$E$46+'Balance Sheet'!$E$47+'Balance Sheet'!$E$59+'Balance Sheet'!$E$56)+('Balance Sheet'!$E$43)</f>
        <v>471724</v>
      </c>
      <c r="J10" s="215"/>
      <c r="K10" s="102"/>
      <c r="M10" s="99">
        <f>('Balance Sheet'!$F$46+'Balance Sheet'!$F$47+'Balance Sheet'!$F$59+'Balance Sheet'!$F$56)+('Balance Sheet'!$F$43)</f>
        <v>487822</v>
      </c>
      <c r="N10" s="215"/>
      <c r="O10" s="102"/>
      <c r="Q10" s="217"/>
    </row>
    <row r="11" spans="2:17" x14ac:dyDescent="0.15">
      <c r="G11" s="29"/>
      <c r="K11" s="29"/>
      <c r="O11" s="29"/>
    </row>
    <row r="12" spans="2:17" x14ac:dyDescent="0.15">
      <c r="G12" s="29"/>
      <c r="K12" s="29"/>
      <c r="O12" s="29"/>
    </row>
    <row r="13" spans="2:17" x14ac:dyDescent="0.15">
      <c r="B13" s="218" t="s">
        <v>221</v>
      </c>
      <c r="C13" s="62" t="s">
        <v>217</v>
      </c>
      <c r="D13" s="60"/>
      <c r="E13" s="63">
        <f>('Balance Sheet'!$D$46+'Balance Sheet'!$D$47+'Balance Sheet'!$D$56+'Balance Sheet'!$D$59)</f>
        <v>253789</v>
      </c>
      <c r="F13" s="214" t="s">
        <v>157</v>
      </c>
      <c r="G13" s="101">
        <f>E13/E14</f>
        <v>0.42274352114975233</v>
      </c>
      <c r="I13" s="63">
        <f>('Balance Sheet'!$E$46+'Balance Sheet'!$E$47+'Balance Sheet'!$E$56+'Balance Sheet'!$E$59)</f>
        <v>274993</v>
      </c>
      <c r="J13" s="214" t="s">
        <v>157</v>
      </c>
      <c r="K13" s="101">
        <f>I13/I14</f>
        <v>0.43449332838261667</v>
      </c>
      <c r="M13" s="63">
        <f>('Balance Sheet'!$F$46+'Balance Sheet'!$F$47+'Balance Sheet'!$F$56+'Balance Sheet'!$F$59)</f>
        <v>284768</v>
      </c>
      <c r="N13" s="214" t="s">
        <v>157</v>
      </c>
      <c r="O13" s="101">
        <f>M13/M14</f>
        <v>0.44186591400335473</v>
      </c>
      <c r="Q13" s="232" t="s">
        <v>232</v>
      </c>
    </row>
    <row r="14" spans="2:17" x14ac:dyDescent="0.15">
      <c r="B14" s="219"/>
      <c r="C14" s="66" t="s">
        <v>222</v>
      </c>
      <c r="D14" s="60"/>
      <c r="E14" s="99">
        <f>'Balance Sheet'!$D$31</f>
        <v>600338</v>
      </c>
      <c r="F14" s="215"/>
      <c r="G14" s="102"/>
      <c r="I14" s="99">
        <f>'Balance Sheet'!$E$31</f>
        <v>632905</v>
      </c>
      <c r="J14" s="215"/>
      <c r="K14" s="102"/>
      <c r="M14" s="99">
        <f>'Balance Sheet'!$F$31</f>
        <v>644467</v>
      </c>
      <c r="N14" s="215"/>
      <c r="O14" s="102"/>
      <c r="Q14" s="233"/>
    </row>
    <row r="15" spans="2:17" x14ac:dyDescent="0.15">
      <c r="G15" s="29"/>
      <c r="K15" s="29"/>
      <c r="O15" s="29"/>
    </row>
    <row r="16" spans="2:17" x14ac:dyDescent="0.15">
      <c r="G16" s="29"/>
      <c r="K16" s="29"/>
      <c r="O16" s="29"/>
    </row>
    <row r="17" spans="2:17" x14ac:dyDescent="0.15">
      <c r="B17" s="218" t="s">
        <v>223</v>
      </c>
      <c r="C17" s="62" t="s">
        <v>224</v>
      </c>
      <c r="D17" s="60"/>
      <c r="E17" s="71">
        <f>'P&amp;L'!$D$11</f>
        <v>22576</v>
      </c>
      <c r="F17" s="214" t="s">
        <v>157</v>
      </c>
      <c r="G17" s="103">
        <f>E17/E18</f>
        <v>6.2850779510022274</v>
      </c>
      <c r="I17" s="71">
        <f>'P&amp;L'!$E$11</f>
        <v>19060</v>
      </c>
      <c r="J17" s="214" t="s">
        <v>157</v>
      </c>
      <c r="K17" s="103">
        <f>I17/I18</f>
        <v>5.5310504933255951</v>
      </c>
      <c r="M17" s="71">
        <f>'P&amp;L'!$F$11</f>
        <v>8868</v>
      </c>
      <c r="N17" s="214" t="s">
        <v>157</v>
      </c>
      <c r="O17" s="103">
        <f>M17/M18</f>
        <v>2.7328197226502313</v>
      </c>
      <c r="Q17" s="216" t="s">
        <v>233</v>
      </c>
    </row>
    <row r="18" spans="2:17" x14ac:dyDescent="0.15">
      <c r="B18" s="219"/>
      <c r="C18" s="66" t="s">
        <v>225</v>
      </c>
      <c r="D18" s="60"/>
      <c r="E18" s="99">
        <f>-'P&amp;L'!$D$14</f>
        <v>3592</v>
      </c>
      <c r="F18" s="215"/>
      <c r="G18" s="102"/>
      <c r="I18" s="99">
        <f>-'P&amp;L'!$E$14</f>
        <v>3446</v>
      </c>
      <c r="J18" s="215"/>
      <c r="K18" s="102"/>
      <c r="M18" s="99">
        <f>-'P&amp;L'!$F$14</f>
        <v>3245</v>
      </c>
      <c r="N18" s="215"/>
      <c r="O18" s="102"/>
      <c r="Q18" s="217"/>
    </row>
    <row r="19" spans="2:17" x14ac:dyDescent="0.15">
      <c r="G19" s="29"/>
      <c r="K19" s="29"/>
      <c r="O19" s="29"/>
    </row>
    <row r="20" spans="2:17" x14ac:dyDescent="0.15">
      <c r="G20" s="29"/>
      <c r="K20" s="29"/>
      <c r="O20" s="29"/>
    </row>
    <row r="21" spans="2:17" x14ac:dyDescent="0.15">
      <c r="B21" s="218" t="s">
        <v>226</v>
      </c>
      <c r="C21" s="62" t="s">
        <v>227</v>
      </c>
      <c r="D21" s="60"/>
      <c r="E21" s="71">
        <f>('P&amp;L'!$D$11-'P&amp;L'!$D$14)</f>
        <v>26168</v>
      </c>
      <c r="F21" s="214" t="s">
        <v>157</v>
      </c>
      <c r="G21" s="103">
        <f>E21/E22</f>
        <v>4.6912871997131589</v>
      </c>
      <c r="I21" s="71">
        <f>('P&amp;L'!$E$11-'P&amp;L'!$E$14)</f>
        <v>22506</v>
      </c>
      <c r="J21" s="214" t="s">
        <v>157</v>
      </c>
      <c r="K21" s="103">
        <f>I21/I22</f>
        <v>4.0595238095238093</v>
      </c>
      <c r="M21" s="71">
        <f>('P&amp;L'!$F$11-'P&amp;L'!$F$14)</f>
        <v>12113</v>
      </c>
      <c r="N21" s="214" t="s">
        <v>157</v>
      </c>
      <c r="O21" s="103">
        <f>M21/M22</f>
        <v>2.224609733700643</v>
      </c>
      <c r="Q21" s="216" t="s">
        <v>234</v>
      </c>
    </row>
    <row r="22" spans="2:17" x14ac:dyDescent="0.15">
      <c r="B22" s="219"/>
      <c r="C22" s="66" t="s">
        <v>228</v>
      </c>
      <c r="D22" s="60"/>
      <c r="E22" s="99">
        <f>('P&amp;L'!$D$23-'P&amp;L'!$D$14)</f>
        <v>5578</v>
      </c>
      <c r="F22" s="215"/>
      <c r="G22" s="102"/>
      <c r="I22" s="99">
        <f>('P&amp;L'!$E$23-'P&amp;L'!$E$14)</f>
        <v>5544</v>
      </c>
      <c r="J22" s="215"/>
      <c r="K22" s="102"/>
      <c r="M22" s="99">
        <f>('P&amp;L'!$F$23-'P&amp;L'!$F$14)</f>
        <v>5445</v>
      </c>
      <c r="N22" s="215"/>
      <c r="O22" s="102"/>
      <c r="Q22" s="217"/>
    </row>
    <row r="23" spans="2:17" x14ac:dyDescent="0.15">
      <c r="G23" s="29"/>
    </row>
    <row r="24" spans="2:17" x14ac:dyDescent="0.15">
      <c r="G24" s="29"/>
      <c r="K24" s="29"/>
      <c r="O24" s="29"/>
    </row>
    <row r="25" spans="2:17" x14ac:dyDescent="0.15">
      <c r="B25" s="218" t="s">
        <v>229</v>
      </c>
      <c r="C25" s="62" t="s">
        <v>187</v>
      </c>
      <c r="D25" s="60"/>
      <c r="E25" s="71">
        <f>AVERAGE('Balance Sheet'!$C$31,'Balance Sheet'!$D$31)</f>
        <v>582175.5</v>
      </c>
      <c r="F25" s="214" t="s">
        <v>157</v>
      </c>
      <c r="G25" s="103">
        <f>E25/E26</f>
        <v>3.1619351509884859</v>
      </c>
      <c r="I25" s="71">
        <f>AVERAGE('Balance Sheet'!$E$31,'Balance Sheet'!$D$31)</f>
        <v>616621.5</v>
      </c>
      <c r="J25" s="214" t="s">
        <v>157</v>
      </c>
      <c r="K25" s="103">
        <f>I25/I26</f>
        <v>3.1896167782683249</v>
      </c>
      <c r="M25" s="71">
        <f>AVERAGE('Balance Sheet'!$E$31,'Balance Sheet'!$F$31)</f>
        <v>638686</v>
      </c>
      <c r="N25" s="214" t="s">
        <v>157</v>
      </c>
      <c r="O25" s="103">
        <f>M25/M26</f>
        <v>3.1951473917230513</v>
      </c>
      <c r="Q25" s="216" t="s">
        <v>235</v>
      </c>
    </row>
    <row r="26" spans="2:17" x14ac:dyDescent="0.15">
      <c r="B26" s="219"/>
      <c r="C26" s="66" t="s">
        <v>196</v>
      </c>
      <c r="D26" s="60"/>
      <c r="E26" s="99">
        <f>AVERAGE('Balance Sheet'!$C$43,'Balance Sheet'!$D$43)</f>
        <v>184120</v>
      </c>
      <c r="F26" s="215"/>
      <c r="G26" s="102"/>
      <c r="I26" s="99">
        <f>AVERAGE('Balance Sheet'!$E$43,'Balance Sheet'!$D$43)</f>
        <v>193321.5</v>
      </c>
      <c r="J26" s="215"/>
      <c r="K26" s="102"/>
      <c r="M26" s="99">
        <f>AVERAGE('Balance Sheet'!$E$43,'Balance Sheet'!$F$43)</f>
        <v>199892.5</v>
      </c>
      <c r="N26" s="215"/>
      <c r="O26" s="102"/>
      <c r="Q26" s="217"/>
    </row>
    <row r="29" spans="2:17" ht="16" x14ac:dyDescent="0.2">
      <c r="C29" s="1"/>
      <c r="D29" s="1"/>
      <c r="E29" s="1"/>
      <c r="F29" s="1"/>
      <c r="G29" s="1"/>
    </row>
    <row r="30" spans="2:17" ht="16" x14ac:dyDescent="0.2">
      <c r="C30" s="1"/>
      <c r="D30" s="1"/>
      <c r="E30" s="1"/>
      <c r="F30" s="1"/>
      <c r="G30" s="1"/>
    </row>
    <row r="31" spans="2:17" ht="16" x14ac:dyDescent="0.2">
      <c r="C31" s="1"/>
      <c r="D31" s="1"/>
      <c r="E31" s="1"/>
      <c r="F31" s="1"/>
      <c r="G31" s="1"/>
    </row>
    <row r="32" spans="2:17" ht="16" x14ac:dyDescent="0.2">
      <c r="C32" s="1"/>
      <c r="D32" s="1"/>
      <c r="E32" s="1"/>
      <c r="F32" s="1"/>
      <c r="G32" s="1"/>
    </row>
    <row r="33" spans="3:7" ht="16" x14ac:dyDescent="0.2">
      <c r="C33" s="1"/>
      <c r="D33" s="1"/>
      <c r="E33" s="1"/>
      <c r="F33" s="1"/>
      <c r="G33" s="1"/>
    </row>
    <row r="34" spans="3:7" ht="16" x14ac:dyDescent="0.2">
      <c r="C34" s="1"/>
      <c r="D34" s="1"/>
      <c r="E34" s="1"/>
      <c r="F34" s="1"/>
      <c r="G34" s="1"/>
    </row>
  </sheetData>
  <mergeCells count="34">
    <mergeCell ref="B3:C3"/>
    <mergeCell ref="E3:G3"/>
    <mergeCell ref="I3:K3"/>
    <mergeCell ref="B5:B6"/>
    <mergeCell ref="F5:F6"/>
    <mergeCell ref="J5:J6"/>
    <mergeCell ref="J21:J22"/>
    <mergeCell ref="B9:B10"/>
    <mergeCell ref="F9:F10"/>
    <mergeCell ref="J9:J10"/>
    <mergeCell ref="B13:B14"/>
    <mergeCell ref="F13:F14"/>
    <mergeCell ref="J13:J14"/>
    <mergeCell ref="Q25:Q26"/>
    <mergeCell ref="B25:B26"/>
    <mergeCell ref="F25:F26"/>
    <mergeCell ref="J25:J26"/>
    <mergeCell ref="M3:O3"/>
    <mergeCell ref="N5:N6"/>
    <mergeCell ref="N9:N10"/>
    <mergeCell ref="N13:N14"/>
    <mergeCell ref="N17:N18"/>
    <mergeCell ref="N21:N22"/>
    <mergeCell ref="N25:N26"/>
    <mergeCell ref="B17:B18"/>
    <mergeCell ref="F17:F18"/>
    <mergeCell ref="J17:J18"/>
    <mergeCell ref="B21:B22"/>
    <mergeCell ref="F21:F22"/>
    <mergeCell ref="Q5:Q6"/>
    <mergeCell ref="Q9:Q10"/>
    <mergeCell ref="Q13:Q14"/>
    <mergeCell ref="Q17:Q18"/>
    <mergeCell ref="Q21:Q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2ED6-787B-5141-B847-CCB5FC78763E}">
  <dimension ref="B1:Q43"/>
  <sheetViews>
    <sheetView zoomScale="192" workbookViewId="0"/>
  </sheetViews>
  <sheetFormatPr baseColWidth="10" defaultRowHeight="12" x14ac:dyDescent="0.15"/>
  <cols>
    <col min="1" max="1" width="2.1640625" style="7" customWidth="1"/>
    <col min="2" max="2" width="28" style="7" bestFit="1" customWidth="1"/>
    <col min="3" max="3" width="17.83203125" style="7" bestFit="1" customWidth="1"/>
    <col min="4" max="4" width="2.1640625" style="7" customWidth="1"/>
    <col min="5" max="5" width="7.6640625" style="7" bestFit="1" customWidth="1"/>
    <col min="6" max="6" width="2" style="7" bestFit="1" customWidth="1"/>
    <col min="7" max="7" width="6.33203125" style="7" bestFit="1" customWidth="1"/>
    <col min="8" max="8" width="2.1640625" style="7" customWidth="1"/>
    <col min="9" max="9" width="7.6640625" style="7" bestFit="1" customWidth="1"/>
    <col min="10" max="10" width="2" style="7" bestFit="1" customWidth="1"/>
    <col min="11" max="11" width="6.33203125" style="7" bestFit="1" customWidth="1"/>
    <col min="12" max="12" width="2.1640625" style="7" customWidth="1"/>
    <col min="13" max="13" width="7.6640625" style="7" bestFit="1" customWidth="1"/>
    <col min="14" max="14" width="2" style="7" bestFit="1" customWidth="1"/>
    <col min="15" max="15" width="6.33203125" style="7" bestFit="1" customWidth="1"/>
    <col min="16" max="16" width="2.1640625" style="7" customWidth="1"/>
    <col min="17" max="17" width="29" style="7" customWidth="1"/>
    <col min="18" max="16384" width="10.83203125" style="7"/>
  </cols>
  <sheetData>
    <row r="1" spans="2:17" x14ac:dyDescent="0.15">
      <c r="B1" s="32" t="s">
        <v>237</v>
      </c>
    </row>
    <row r="2" spans="2:17" x14ac:dyDescent="0.15">
      <c r="B2" s="52"/>
    </row>
    <row r="3" spans="2:17" x14ac:dyDescent="0.15">
      <c r="B3" s="222" t="s">
        <v>153</v>
      </c>
      <c r="C3" s="224"/>
      <c r="D3" s="109"/>
      <c r="E3" s="222" t="s">
        <v>197</v>
      </c>
      <c r="F3" s="223"/>
      <c r="G3" s="224"/>
      <c r="H3" s="109"/>
      <c r="I3" s="222" t="s">
        <v>198</v>
      </c>
      <c r="J3" s="223"/>
      <c r="K3" s="224"/>
      <c r="M3" s="222" t="s">
        <v>199</v>
      </c>
      <c r="N3" s="223"/>
      <c r="O3" s="224"/>
      <c r="Q3" s="57" t="s">
        <v>154</v>
      </c>
    </row>
    <row r="4" spans="2:17" x14ac:dyDescent="0.15">
      <c r="D4" s="60"/>
      <c r="E4" s="61"/>
      <c r="F4" s="60"/>
      <c r="I4" s="61"/>
      <c r="J4" s="60"/>
      <c r="M4" s="61"/>
      <c r="N4" s="60"/>
      <c r="Q4" s="108"/>
    </row>
    <row r="5" spans="2:17" x14ac:dyDescent="0.15">
      <c r="B5" s="218" t="s">
        <v>238</v>
      </c>
      <c r="C5" s="62" t="s">
        <v>239</v>
      </c>
      <c r="D5" s="60"/>
      <c r="E5" s="71">
        <f>'P&amp;L'!$D$6</f>
        <v>61022</v>
      </c>
      <c r="F5" s="214" t="s">
        <v>157</v>
      </c>
      <c r="G5" s="107">
        <f>E5/E6</f>
        <v>0.18934231919673331</v>
      </c>
      <c r="I5" s="71">
        <f>'P&amp;L'!$E$6</f>
        <v>59472</v>
      </c>
      <c r="J5" s="214" t="s">
        <v>157</v>
      </c>
      <c r="K5" s="107">
        <f>I5/I6</f>
        <v>0.18318466315115076</v>
      </c>
      <c r="M5" s="71">
        <f>'P&amp;L'!$F$6</f>
        <v>51243</v>
      </c>
      <c r="N5" s="214" t="s">
        <v>157</v>
      </c>
      <c r="O5" s="107">
        <f>M5/M6</f>
        <v>0.15918276055953007</v>
      </c>
      <c r="Q5" s="216" t="s">
        <v>252</v>
      </c>
    </row>
    <row r="6" spans="2:17" x14ac:dyDescent="0.15">
      <c r="B6" s="219"/>
      <c r="C6" s="66" t="s">
        <v>179</v>
      </c>
      <c r="D6" s="60"/>
      <c r="E6" s="99">
        <f>'P&amp;L'!$D$4</f>
        <v>322284</v>
      </c>
      <c r="F6" s="215"/>
      <c r="G6" s="69"/>
      <c r="I6" s="99">
        <f>'P&amp;L'!$E$4</f>
        <v>324656</v>
      </c>
      <c r="J6" s="215"/>
      <c r="K6" s="69"/>
      <c r="M6" s="99">
        <f>'P&amp;L'!$F$4</f>
        <v>321913</v>
      </c>
      <c r="N6" s="215"/>
      <c r="O6" s="69"/>
      <c r="Q6" s="217"/>
    </row>
    <row r="7" spans="2:17" x14ac:dyDescent="0.15">
      <c r="D7" s="60"/>
      <c r="E7" s="61"/>
      <c r="F7" s="60"/>
      <c r="I7" s="61"/>
      <c r="J7" s="60"/>
      <c r="M7" s="61"/>
      <c r="N7" s="60"/>
      <c r="Q7" s="108"/>
    </row>
    <row r="8" spans="2:17" x14ac:dyDescent="0.15">
      <c r="D8" s="60"/>
      <c r="E8" s="61"/>
      <c r="F8" s="60"/>
      <c r="I8" s="61"/>
      <c r="J8" s="60"/>
      <c r="M8" s="61"/>
      <c r="N8" s="60"/>
      <c r="Q8" s="108"/>
    </row>
    <row r="9" spans="2:17" x14ac:dyDescent="0.15">
      <c r="B9" s="218" t="s">
        <v>240</v>
      </c>
      <c r="C9" s="62" t="s">
        <v>241</v>
      </c>
      <c r="D9" s="60"/>
      <c r="E9" s="63">
        <f>'P&amp;L'!$D$11</f>
        <v>22576</v>
      </c>
      <c r="F9" s="214" t="s">
        <v>157</v>
      </c>
      <c r="G9" s="107">
        <f>E9/E10</f>
        <v>7.0050017996549627E-2</v>
      </c>
      <c r="I9" s="63">
        <f>'P&amp;L'!$E$11</f>
        <v>19060</v>
      </c>
      <c r="J9" s="214" t="s">
        <v>157</v>
      </c>
      <c r="K9" s="107">
        <f>I9/I10</f>
        <v>5.8708294317677788E-2</v>
      </c>
      <c r="M9" s="63">
        <f>'P&amp;L'!$F$11</f>
        <v>8868</v>
      </c>
      <c r="N9" s="214" t="s">
        <v>157</v>
      </c>
      <c r="O9" s="107">
        <f>M9/M10</f>
        <v>2.7547815714183646E-2</v>
      </c>
      <c r="Q9" s="216" t="s">
        <v>253</v>
      </c>
    </row>
    <row r="10" spans="2:17" x14ac:dyDescent="0.15">
      <c r="B10" s="219"/>
      <c r="C10" s="66" t="s">
        <v>179</v>
      </c>
      <c r="D10" s="60"/>
      <c r="E10" s="99">
        <f>'P&amp;L'!$D$4</f>
        <v>322284</v>
      </c>
      <c r="F10" s="215"/>
      <c r="G10" s="69"/>
      <c r="I10" s="99">
        <f>'P&amp;L'!$E$4</f>
        <v>324656</v>
      </c>
      <c r="J10" s="215"/>
      <c r="K10" s="69"/>
      <c r="M10" s="99">
        <f>'P&amp;L'!$F$4</f>
        <v>321913</v>
      </c>
      <c r="N10" s="215"/>
      <c r="O10" s="69"/>
      <c r="Q10" s="217"/>
    </row>
    <row r="11" spans="2:17" x14ac:dyDescent="0.15">
      <c r="D11" s="60"/>
      <c r="E11" s="61"/>
      <c r="F11" s="60"/>
      <c r="I11" s="61"/>
      <c r="J11" s="60"/>
      <c r="M11" s="61"/>
      <c r="N11" s="60"/>
      <c r="Q11" s="108"/>
    </row>
    <row r="12" spans="2:17" x14ac:dyDescent="0.15">
      <c r="D12" s="60"/>
      <c r="E12" s="61"/>
      <c r="F12" s="60"/>
      <c r="I12" s="61"/>
      <c r="J12" s="60"/>
      <c r="M12" s="61"/>
      <c r="N12" s="60"/>
      <c r="Q12" s="108"/>
    </row>
    <row r="13" spans="2:17" x14ac:dyDescent="0.15">
      <c r="B13" s="218" t="s">
        <v>242</v>
      </c>
      <c r="C13" s="62" t="s">
        <v>243</v>
      </c>
      <c r="D13" s="60"/>
      <c r="E13" s="71">
        <f>'P&amp;L'!$D$17</f>
        <v>23194</v>
      </c>
      <c r="F13" s="214" t="s">
        <v>157</v>
      </c>
      <c r="G13" s="107">
        <f>E13/E14</f>
        <v>7.1967581387844259E-2</v>
      </c>
      <c r="I13" s="71">
        <f>'P&amp;L'!$E$17</f>
        <v>16806</v>
      </c>
      <c r="J13" s="214" t="s">
        <v>157</v>
      </c>
      <c r="K13" s="107">
        <f>I13/I14</f>
        <v>5.1765561086195851E-2</v>
      </c>
      <c r="M13" s="71">
        <f>'P&amp;L'!$F$17</f>
        <v>9307</v>
      </c>
      <c r="N13" s="214" t="s">
        <v>157</v>
      </c>
      <c r="O13" s="107">
        <f>M13/M14</f>
        <v>2.8911538210634552E-2</v>
      </c>
      <c r="Q13" s="216" t="s">
        <v>254</v>
      </c>
    </row>
    <row r="14" spans="2:17" x14ac:dyDescent="0.15">
      <c r="B14" s="219"/>
      <c r="C14" s="66" t="s">
        <v>179</v>
      </c>
      <c r="D14" s="60"/>
      <c r="E14" s="99">
        <f>'P&amp;L'!$D$4</f>
        <v>322284</v>
      </c>
      <c r="F14" s="215"/>
      <c r="G14" s="69"/>
      <c r="I14" s="99">
        <f>'P&amp;L'!$E$4</f>
        <v>324656</v>
      </c>
      <c r="J14" s="215"/>
      <c r="K14" s="69"/>
      <c r="M14" s="99">
        <f>'P&amp;L'!$F$4</f>
        <v>321913</v>
      </c>
      <c r="N14" s="215"/>
      <c r="O14" s="69"/>
      <c r="Q14" s="217"/>
    </row>
    <row r="15" spans="2:17" x14ac:dyDescent="0.15">
      <c r="Q15" s="108"/>
    </row>
    <row r="16" spans="2:17" x14ac:dyDescent="0.15">
      <c r="Q16" s="108"/>
    </row>
    <row r="17" spans="2:17" x14ac:dyDescent="0.15">
      <c r="B17" s="218" t="s">
        <v>244</v>
      </c>
      <c r="C17" s="62" t="s">
        <v>245</v>
      </c>
      <c r="D17" s="60"/>
      <c r="E17" s="63">
        <f>'P&amp;L'!$D$21</f>
        <v>17928</v>
      </c>
      <c r="F17" s="214" t="s">
        <v>157</v>
      </c>
      <c r="G17" s="107">
        <f>E17/E18</f>
        <v>5.5627955467848232E-2</v>
      </c>
      <c r="I17" s="63">
        <f>'P&amp;L'!$E$21</f>
        <v>12394</v>
      </c>
      <c r="J17" s="214" t="s">
        <v>157</v>
      </c>
      <c r="K17" s="107">
        <f>I17/I18</f>
        <v>3.8175792223153121E-2</v>
      </c>
      <c r="M17" s="63">
        <f>'P&amp;L'!$F$21</f>
        <v>6904</v>
      </c>
      <c r="N17" s="214" t="s">
        <v>157</v>
      </c>
      <c r="O17" s="107">
        <f>M17/M18</f>
        <v>2.1446788417988711E-2</v>
      </c>
      <c r="Q17" s="216" t="s">
        <v>255</v>
      </c>
    </row>
    <row r="18" spans="2:17" x14ac:dyDescent="0.15">
      <c r="B18" s="219"/>
      <c r="C18" s="66" t="s">
        <v>179</v>
      </c>
      <c r="D18" s="60"/>
      <c r="E18" s="99">
        <f>'P&amp;L'!$D$4</f>
        <v>322284</v>
      </c>
      <c r="F18" s="215"/>
      <c r="G18" s="69"/>
      <c r="I18" s="99">
        <f>'P&amp;L'!$E$4</f>
        <v>324656</v>
      </c>
      <c r="J18" s="215"/>
      <c r="K18" s="69"/>
      <c r="M18" s="99">
        <f>'P&amp;L'!$F$4</f>
        <v>321913</v>
      </c>
      <c r="N18" s="215"/>
      <c r="O18" s="69"/>
      <c r="Q18" s="217"/>
    </row>
    <row r="19" spans="2:17" x14ac:dyDescent="0.15">
      <c r="Q19" s="108"/>
    </row>
    <row r="20" spans="2:17" x14ac:dyDescent="0.15">
      <c r="Q20" s="108"/>
    </row>
    <row r="21" spans="2:17" x14ac:dyDescent="0.15">
      <c r="B21" s="218" t="s">
        <v>246</v>
      </c>
      <c r="C21" s="62" t="s">
        <v>245</v>
      </c>
      <c r="D21" s="60"/>
      <c r="E21" s="63">
        <f>'P&amp;L'!$D$21</f>
        <v>17928</v>
      </c>
      <c r="F21" s="214" t="s">
        <v>157</v>
      </c>
      <c r="G21" s="107">
        <f>E21/E22</f>
        <v>3.0794837639165511E-2</v>
      </c>
      <c r="I21" s="63">
        <f>'P&amp;L'!$E$21</f>
        <v>12394</v>
      </c>
      <c r="J21" s="214" t="s">
        <v>157</v>
      </c>
      <c r="K21" s="107">
        <f>I21/I22</f>
        <v>2.0099850556621848E-2</v>
      </c>
      <c r="M21" s="63">
        <f>'P&amp;L'!$F$21</f>
        <v>6904</v>
      </c>
      <c r="N21" s="214" t="s">
        <v>157</v>
      </c>
      <c r="O21" s="107">
        <f>M21/M22</f>
        <v>1.0809693652279836E-2</v>
      </c>
      <c r="Q21" s="216" t="s">
        <v>256</v>
      </c>
    </row>
    <row r="22" spans="2:17" x14ac:dyDescent="0.15">
      <c r="B22" s="219"/>
      <c r="C22" s="66" t="s">
        <v>187</v>
      </c>
      <c r="D22" s="60"/>
      <c r="E22" s="71">
        <f>AVERAGE('Balance Sheet'!$C$31,'Balance Sheet'!$D$31)</f>
        <v>582175.5</v>
      </c>
      <c r="F22" s="215"/>
      <c r="G22" s="69"/>
      <c r="I22" s="71">
        <f>AVERAGE('Balance Sheet'!$E$31,'Balance Sheet'!$D$31)</f>
        <v>616621.5</v>
      </c>
      <c r="J22" s="215"/>
      <c r="K22" s="69"/>
      <c r="M22" s="71">
        <f>AVERAGE('Balance Sheet'!$E$31,'Balance Sheet'!$F$31)</f>
        <v>638686</v>
      </c>
      <c r="N22" s="215"/>
      <c r="O22" s="69"/>
      <c r="Q22" s="217"/>
    </row>
    <row r="23" spans="2:17" x14ac:dyDescent="0.15">
      <c r="B23" s="108"/>
      <c r="C23" s="60"/>
      <c r="D23" s="60"/>
      <c r="E23" s="61"/>
      <c r="F23" s="108"/>
      <c r="I23" s="61"/>
      <c r="J23" s="108"/>
      <c r="M23" s="61"/>
      <c r="N23" s="108"/>
      <c r="Q23" s="110"/>
    </row>
    <row r="24" spans="2:17" x14ac:dyDescent="0.15">
      <c r="Q24" s="108"/>
    </row>
    <row r="25" spans="2:17" x14ac:dyDescent="0.15">
      <c r="B25" s="218" t="s">
        <v>247</v>
      </c>
      <c r="C25" s="62" t="s">
        <v>248</v>
      </c>
      <c r="D25" s="60"/>
      <c r="E25" s="63">
        <f>'P&amp;L'!$D$11</f>
        <v>22576</v>
      </c>
      <c r="F25" s="214" t="s">
        <v>157</v>
      </c>
      <c r="G25" s="107">
        <f>E25/E26</f>
        <v>3.8778684434504718E-2</v>
      </c>
      <c r="I25" s="63">
        <f>'P&amp;L'!$E$11</f>
        <v>19060</v>
      </c>
      <c r="J25" s="214" t="s">
        <v>157</v>
      </c>
      <c r="K25" s="107">
        <f>I25/I26</f>
        <v>3.0910372084009395E-2</v>
      </c>
      <c r="M25" s="63">
        <f>'P&amp;L'!$F$11</f>
        <v>8868</v>
      </c>
      <c r="N25" s="214" t="s">
        <v>157</v>
      </c>
      <c r="O25" s="107">
        <f>M25/M26</f>
        <v>1.3884757142007183E-2</v>
      </c>
      <c r="Q25" s="216" t="s">
        <v>257</v>
      </c>
    </row>
    <row r="26" spans="2:17" x14ac:dyDescent="0.15">
      <c r="B26" s="219"/>
      <c r="C26" s="66" t="s">
        <v>187</v>
      </c>
      <c r="D26" s="60"/>
      <c r="E26" s="71">
        <f>AVERAGE('Balance Sheet'!$C$31,'Balance Sheet'!$D$31)</f>
        <v>582175.5</v>
      </c>
      <c r="F26" s="215"/>
      <c r="G26" s="69"/>
      <c r="I26" s="71">
        <f>AVERAGE('Balance Sheet'!$E$31,'Balance Sheet'!$D$31)</f>
        <v>616621.5</v>
      </c>
      <c r="J26" s="215"/>
      <c r="K26" s="69"/>
      <c r="M26" s="71">
        <f>AVERAGE('Balance Sheet'!$E$31,'Balance Sheet'!$F$31)</f>
        <v>638686</v>
      </c>
      <c r="N26" s="215"/>
      <c r="O26" s="69"/>
      <c r="Q26" s="217"/>
    </row>
    <row r="27" spans="2:17" x14ac:dyDescent="0.15">
      <c r="Q27" s="108"/>
    </row>
    <row r="28" spans="2:17" x14ac:dyDescent="0.15">
      <c r="Q28" s="108"/>
    </row>
    <row r="29" spans="2:17" x14ac:dyDescent="0.15">
      <c r="B29" s="218" t="s">
        <v>249</v>
      </c>
      <c r="C29" s="62" t="s">
        <v>248</v>
      </c>
      <c r="D29" s="60"/>
      <c r="E29" s="63">
        <f>'P&amp;L'!$D$11</f>
        <v>22576</v>
      </c>
      <c r="F29" s="214" t="s">
        <v>157</v>
      </c>
      <c r="G29" s="107">
        <f>E29/E30</f>
        <v>5.2796450926030948E-2</v>
      </c>
      <c r="I29" s="63">
        <f>'P&amp;L'!$E$11</f>
        <v>19060</v>
      </c>
      <c r="J29" s="214" t="s">
        <v>157</v>
      </c>
      <c r="K29" s="107">
        <f>I29/I30</f>
        <v>4.1641860338094326E-2</v>
      </c>
      <c r="M29" s="63">
        <f>'P&amp;L'!$F$11</f>
        <v>8868</v>
      </c>
      <c r="N29" s="214" t="s">
        <v>157</v>
      </c>
      <c r="O29" s="107">
        <f>M29/M30</f>
        <v>1.8483741269308612E-2</v>
      </c>
      <c r="Q29" s="216" t="s">
        <v>258</v>
      </c>
    </row>
    <row r="30" spans="2:17" x14ac:dyDescent="0.15">
      <c r="B30" s="219"/>
      <c r="C30" s="66" t="s">
        <v>250</v>
      </c>
      <c r="D30" s="60"/>
      <c r="E30" s="67">
        <f>AVERAGE('Balance Sheet'!$C$43,'Balance Sheet'!$D$43)+AVERAGE('Balance Sheet'!$C$46,'Balance Sheet'!$D$46)+AVERAGE('Balance Sheet'!$C$47,'Balance Sheet'!$D$47)+AVERAGE('Balance Sheet'!$C$56,'Balance Sheet'!$D$56)+AVERAGE('Balance Sheet'!$C$59,'Balance Sheet'!$D$59)</f>
        <v>427604.5</v>
      </c>
      <c r="F30" s="215"/>
      <c r="G30" s="69"/>
      <c r="I30" s="67">
        <f>AVERAGE('Balance Sheet'!$E$43,'Balance Sheet'!$D$43)+AVERAGE('Balance Sheet'!$E$46,'Balance Sheet'!$D$46)+AVERAGE('Balance Sheet'!$E$47,'Balance Sheet'!$D$47)+AVERAGE('Balance Sheet'!$E$56,'Balance Sheet'!$D$56)+AVERAGE('Balance Sheet'!$E$59,'Balance Sheet'!$D$59)</f>
        <v>457712.5</v>
      </c>
      <c r="J30" s="215"/>
      <c r="K30" s="69"/>
      <c r="M30" s="67">
        <f>AVERAGE('Balance Sheet'!$E$43,'Balance Sheet'!$F$43)+AVERAGE('Balance Sheet'!$E$46,'Balance Sheet'!$F$46)+AVERAGE('Balance Sheet'!$E$47,'Balance Sheet'!$F$47)+AVERAGE('Balance Sheet'!$E$56,'Balance Sheet'!$F$56)+AVERAGE('Balance Sheet'!$E$59,'Balance Sheet'!$F$59)</f>
        <v>479773</v>
      </c>
      <c r="N30" s="215"/>
      <c r="O30" s="69"/>
      <c r="Q30" s="217"/>
    </row>
    <row r="31" spans="2:17" x14ac:dyDescent="0.15">
      <c r="Q31" s="108"/>
    </row>
    <row r="32" spans="2:17" x14ac:dyDescent="0.15">
      <c r="Q32" s="108"/>
    </row>
    <row r="33" spans="2:17" x14ac:dyDescent="0.15">
      <c r="B33" s="218" t="s">
        <v>295</v>
      </c>
      <c r="C33" s="62" t="s">
        <v>245</v>
      </c>
      <c r="E33" s="63">
        <f>'P&amp;L'!$D$21</f>
        <v>17928</v>
      </c>
      <c r="F33" s="214" t="s">
        <v>157</v>
      </c>
      <c r="G33" s="107">
        <f>E33/E34</f>
        <v>9.7371279600260693E-2</v>
      </c>
      <c r="I33" s="63">
        <f>'P&amp;L'!$E$21</f>
        <v>12394</v>
      </c>
      <c r="J33" s="214" t="s">
        <v>157</v>
      </c>
      <c r="K33" s="107">
        <f>I33/I34</f>
        <v>6.4110820576086983E-2</v>
      </c>
      <c r="M33" s="63">
        <f>'P&amp;L'!$F$21</f>
        <v>6904</v>
      </c>
      <c r="N33" s="214" t="s">
        <v>157</v>
      </c>
      <c r="O33" s="107">
        <f>M33/M34</f>
        <v>3.4538564478407141E-2</v>
      </c>
      <c r="Q33" s="216" t="s">
        <v>259</v>
      </c>
    </row>
    <row r="34" spans="2:17" x14ac:dyDescent="0.15">
      <c r="B34" s="219"/>
      <c r="C34" s="66" t="s">
        <v>251</v>
      </c>
      <c r="E34" s="99">
        <f>AVERAGE('Balance Sheet'!$C$43,'Balance Sheet'!$D$43)</f>
        <v>184120</v>
      </c>
      <c r="F34" s="215"/>
      <c r="G34" s="69"/>
      <c r="I34" s="99">
        <f>AVERAGE('Balance Sheet'!$E$43,'Balance Sheet'!$D$43)</f>
        <v>193321.5</v>
      </c>
      <c r="J34" s="215"/>
      <c r="K34" s="69"/>
      <c r="M34" s="99">
        <f>AVERAGE('Balance Sheet'!$E$43,'Balance Sheet'!$F$43)</f>
        <v>199892.5</v>
      </c>
      <c r="N34" s="215"/>
      <c r="O34" s="69"/>
      <c r="Q34" s="217"/>
    </row>
    <row r="43" spans="2:17" x14ac:dyDescent="0.15">
      <c r="P43" s="52"/>
    </row>
  </sheetData>
  <mergeCells count="44">
    <mergeCell ref="B3:C3"/>
    <mergeCell ref="E3:G3"/>
    <mergeCell ref="I3:K3"/>
    <mergeCell ref="B5:B6"/>
    <mergeCell ref="F5:F6"/>
    <mergeCell ref="J5:J6"/>
    <mergeCell ref="B9:B10"/>
    <mergeCell ref="F9:F10"/>
    <mergeCell ref="J9:J10"/>
    <mergeCell ref="B13:B14"/>
    <mergeCell ref="F13:F14"/>
    <mergeCell ref="J13:J14"/>
    <mergeCell ref="B17:B18"/>
    <mergeCell ref="F17:F18"/>
    <mergeCell ref="J17:J18"/>
    <mergeCell ref="B21:B22"/>
    <mergeCell ref="F21:F22"/>
    <mergeCell ref="J21:J22"/>
    <mergeCell ref="B33:B34"/>
    <mergeCell ref="F33:F34"/>
    <mergeCell ref="J33:J34"/>
    <mergeCell ref="M3:O3"/>
    <mergeCell ref="N5:N6"/>
    <mergeCell ref="N9:N10"/>
    <mergeCell ref="N13:N14"/>
    <mergeCell ref="N17:N18"/>
    <mergeCell ref="N21:N22"/>
    <mergeCell ref="N25:N26"/>
    <mergeCell ref="B25:B26"/>
    <mergeCell ref="F25:F26"/>
    <mergeCell ref="J25:J26"/>
    <mergeCell ref="B29:B30"/>
    <mergeCell ref="F29:F30"/>
    <mergeCell ref="J29:J30"/>
    <mergeCell ref="N29:N30"/>
    <mergeCell ref="N33:N34"/>
    <mergeCell ref="Q5:Q6"/>
    <mergeCell ref="Q9:Q10"/>
    <mergeCell ref="Q13:Q14"/>
    <mergeCell ref="Q17:Q18"/>
    <mergeCell ref="Q21:Q22"/>
    <mergeCell ref="Q25:Q26"/>
    <mergeCell ref="Q29:Q30"/>
    <mergeCell ref="Q33:Q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596C-7287-D945-B92B-72D72C55C43C}">
  <dimension ref="B1:Q41"/>
  <sheetViews>
    <sheetView zoomScale="200" workbookViewId="0"/>
  </sheetViews>
  <sheetFormatPr baseColWidth="10" defaultRowHeight="12" x14ac:dyDescent="0.15"/>
  <cols>
    <col min="1" max="1" width="2.1640625" style="7" customWidth="1"/>
    <col min="2" max="2" width="31" style="7" customWidth="1"/>
    <col min="3" max="3" width="28.6640625" style="7" bestFit="1" customWidth="1"/>
    <col min="4" max="4" width="2.1640625" style="7" customWidth="1"/>
    <col min="5" max="5" width="12.83203125" style="7" bestFit="1" customWidth="1"/>
    <col min="6" max="6" width="2" style="7" bestFit="1" customWidth="1"/>
    <col min="7" max="7" width="8.6640625" style="7" customWidth="1"/>
    <col min="8" max="8" width="2.1640625" style="7" customWidth="1"/>
    <col min="9" max="9" width="15" style="7" bestFit="1" customWidth="1"/>
    <col min="10" max="10" width="2" style="7" bestFit="1" customWidth="1"/>
    <col min="11" max="11" width="9" style="7" bestFit="1" customWidth="1"/>
    <col min="12" max="12" width="2.1640625" style="7" customWidth="1"/>
    <col min="13" max="13" width="12" style="7" bestFit="1" customWidth="1"/>
    <col min="14" max="14" width="2" style="7" bestFit="1" customWidth="1"/>
    <col min="15" max="15" width="6.33203125" style="7" bestFit="1" customWidth="1"/>
    <col min="16" max="16" width="2.1640625" style="7" customWidth="1"/>
    <col min="17" max="17" width="25.1640625" style="7" customWidth="1"/>
    <col min="18" max="16384" width="10.83203125" style="7"/>
  </cols>
  <sheetData>
    <row r="1" spans="2:17" x14ac:dyDescent="0.15">
      <c r="B1" s="32" t="s">
        <v>260</v>
      </c>
    </row>
    <row r="3" spans="2:17" x14ac:dyDescent="0.15">
      <c r="B3" s="222" t="s">
        <v>153</v>
      </c>
      <c r="C3" s="224"/>
      <c r="D3" s="109"/>
      <c r="E3" s="222" t="s">
        <v>197</v>
      </c>
      <c r="F3" s="223"/>
      <c r="G3" s="224"/>
      <c r="H3" s="109"/>
      <c r="I3" s="222" t="s">
        <v>198</v>
      </c>
      <c r="J3" s="223"/>
      <c r="K3" s="224"/>
      <c r="M3" s="222" t="s">
        <v>199</v>
      </c>
      <c r="N3" s="223"/>
      <c r="O3" s="224"/>
      <c r="Q3" s="57" t="s">
        <v>154</v>
      </c>
    </row>
    <row r="4" spans="2:17" x14ac:dyDescent="0.15">
      <c r="D4" s="60"/>
      <c r="E4" s="61"/>
      <c r="F4" s="60"/>
      <c r="I4" s="61"/>
      <c r="J4" s="60"/>
      <c r="M4" s="61"/>
      <c r="N4" s="60"/>
      <c r="Q4" s="108"/>
    </row>
    <row r="5" spans="2:17" x14ac:dyDescent="0.15">
      <c r="B5" s="225" t="s">
        <v>291</v>
      </c>
      <c r="C5" s="62" t="s">
        <v>261</v>
      </c>
      <c r="D5" s="60"/>
      <c r="E5" s="71">
        <f>'P&amp;L'!$D$31*1000000</f>
        <v>9419000000</v>
      </c>
      <c r="F5" s="214" t="s">
        <v>157</v>
      </c>
      <c r="G5" s="103">
        <f>E5/E6</f>
        <v>31.91909522272978</v>
      </c>
      <c r="I5" s="71">
        <f>'P&amp;L'!$E$31*1000000</f>
        <v>6304000000</v>
      </c>
      <c r="J5" s="214" t="s">
        <v>157</v>
      </c>
      <c r="K5" s="103">
        <f>I5/I6</f>
        <v>21.362987183786871</v>
      </c>
      <c r="M5" s="71">
        <f>'P&amp;L'!$F$31*1000000</f>
        <v>3921000000</v>
      </c>
      <c r="N5" s="214" t="s">
        <v>157</v>
      </c>
      <c r="O5" s="103">
        <f>M5/M6</f>
        <v>13.287479814027334</v>
      </c>
      <c r="Q5" s="216" t="s">
        <v>272</v>
      </c>
    </row>
    <row r="6" spans="2:17" x14ac:dyDescent="0.15">
      <c r="B6" s="226"/>
      <c r="C6" s="66" t="s">
        <v>262</v>
      </c>
      <c r="D6" s="60"/>
      <c r="E6" s="99">
        <f>'P&amp;L'!$D$25</f>
        <v>295089818</v>
      </c>
      <c r="F6" s="215"/>
      <c r="G6" s="69"/>
      <c r="I6" s="99">
        <f>'P&amp;L'!$E$25</f>
        <v>295089818</v>
      </c>
      <c r="J6" s="215"/>
      <c r="K6" s="69"/>
      <c r="M6" s="99">
        <f>'P&amp;L'!$F$25</f>
        <v>295089818</v>
      </c>
      <c r="N6" s="215"/>
      <c r="O6" s="69"/>
      <c r="Q6" s="217"/>
    </row>
    <row r="9" spans="2:17" x14ac:dyDescent="0.15">
      <c r="B9" s="225" t="s">
        <v>288</v>
      </c>
      <c r="C9" s="62" t="s">
        <v>263</v>
      </c>
      <c r="E9" s="111">
        <f>'P&amp;L'!$D$33</f>
        <v>118.45</v>
      </c>
      <c r="F9" s="214" t="s">
        <v>157</v>
      </c>
      <c r="G9" s="103">
        <f>E9/E10</f>
        <v>3.7109447862936618</v>
      </c>
      <c r="I9" s="111">
        <f>'P&amp;L'!$E$33</f>
        <v>92.15</v>
      </c>
      <c r="J9" s="214" t="s">
        <v>157</v>
      </c>
      <c r="K9" s="103">
        <f>I9/I10</f>
        <v>4.313535331329315</v>
      </c>
      <c r="M9" s="111">
        <f>'P&amp;L'!$F$33</f>
        <v>105.1</v>
      </c>
      <c r="N9" s="214" t="s">
        <v>157</v>
      </c>
      <c r="O9" s="103">
        <f>M9/M10</f>
        <v>7.9097015740372356</v>
      </c>
      <c r="Q9" s="216" t="s">
        <v>273</v>
      </c>
    </row>
    <row r="10" spans="2:17" x14ac:dyDescent="0.15">
      <c r="B10" s="226"/>
      <c r="C10" s="66" t="s">
        <v>293</v>
      </c>
      <c r="E10" s="112">
        <f>G5</f>
        <v>31.91909522272978</v>
      </c>
      <c r="F10" s="215"/>
      <c r="G10" s="69"/>
      <c r="I10" s="112">
        <f>K5</f>
        <v>21.362987183786871</v>
      </c>
      <c r="J10" s="215"/>
      <c r="K10" s="69"/>
      <c r="M10" s="112">
        <f>O5</f>
        <v>13.287479814027334</v>
      </c>
      <c r="N10" s="215"/>
      <c r="O10" s="69"/>
      <c r="Q10" s="217"/>
    </row>
    <row r="13" spans="2:17" x14ac:dyDescent="0.15">
      <c r="B13" s="225" t="s">
        <v>294</v>
      </c>
      <c r="C13" s="62" t="s">
        <v>297</v>
      </c>
      <c r="D13" s="60"/>
      <c r="E13" s="71">
        <f>'P&amp;L'!$D$32*1000000</f>
        <v>6594000000</v>
      </c>
      <c r="F13" s="214" t="s">
        <v>157</v>
      </c>
      <c r="G13" s="103">
        <f>E13/E14</f>
        <v>31.977817074617015</v>
      </c>
      <c r="I13" s="71">
        <f>'P&amp;L'!$E$32*1000000</f>
        <v>4417000000</v>
      </c>
      <c r="J13" s="214" t="s">
        <v>157</v>
      </c>
      <c r="K13" s="103">
        <f>I13/I14</f>
        <v>21.420384898177641</v>
      </c>
      <c r="M13" s="71">
        <f>'P&amp;L'!$F$32*1000000</f>
        <v>2752000000</v>
      </c>
      <c r="N13" s="214" t="s">
        <v>157</v>
      </c>
      <c r="O13" s="103">
        <f>M13/M14</f>
        <v>13.345913343849867</v>
      </c>
      <c r="Q13" s="216" t="s">
        <v>292</v>
      </c>
    </row>
    <row r="14" spans="2:17" x14ac:dyDescent="0.15">
      <c r="B14" s="226"/>
      <c r="C14" s="66" t="s">
        <v>262</v>
      </c>
      <c r="D14" s="60"/>
      <c r="E14" s="99">
        <f>'P&amp;L'!$D$26</f>
        <v>206205445</v>
      </c>
      <c r="F14" s="215"/>
      <c r="G14" s="69"/>
      <c r="I14" s="99">
        <f>'P&amp;L'!$E$26</f>
        <v>206205445</v>
      </c>
      <c r="J14" s="215"/>
      <c r="K14" s="69"/>
      <c r="M14" s="99">
        <f>'P&amp;L'!$F$26</f>
        <v>206205445</v>
      </c>
      <c r="N14" s="215"/>
      <c r="O14" s="69"/>
      <c r="Q14" s="217"/>
    </row>
    <row r="17" spans="2:17" x14ac:dyDescent="0.15">
      <c r="B17" s="225" t="s">
        <v>299</v>
      </c>
      <c r="C17" s="62" t="s">
        <v>263</v>
      </c>
      <c r="E17" s="111">
        <f>'P&amp;L'!$D$34</f>
        <v>111.8</v>
      </c>
      <c r="F17" s="214" t="s">
        <v>157</v>
      </c>
      <c r="G17" s="103">
        <f>E17/E18</f>
        <v>3.4961736049438885</v>
      </c>
      <c r="I17" s="111">
        <f>'P&amp;L'!$E$34</f>
        <v>89.04</v>
      </c>
      <c r="J17" s="214" t="s">
        <v>157</v>
      </c>
      <c r="K17" s="103">
        <f>I17/I18</f>
        <v>4.1567880513470685</v>
      </c>
      <c r="M17" s="111">
        <f>'P&amp;L'!$F$34</f>
        <v>103.55</v>
      </c>
      <c r="N17" s="214" t="s">
        <v>157</v>
      </c>
      <c r="O17" s="103">
        <f>M17/M18</f>
        <v>7.7589294439498548</v>
      </c>
      <c r="Q17" s="216" t="s">
        <v>273</v>
      </c>
    </row>
    <row r="18" spans="2:17" x14ac:dyDescent="0.15">
      <c r="B18" s="226"/>
      <c r="C18" s="66" t="s">
        <v>298</v>
      </c>
      <c r="E18" s="112">
        <f>G13</f>
        <v>31.977817074617015</v>
      </c>
      <c r="F18" s="215"/>
      <c r="G18" s="69"/>
      <c r="I18" s="112">
        <f>K13</f>
        <v>21.420384898177641</v>
      </c>
      <c r="J18" s="215"/>
      <c r="K18" s="69"/>
      <c r="M18" s="112">
        <f>O13</f>
        <v>13.345913343849867</v>
      </c>
      <c r="N18" s="215"/>
      <c r="O18" s="69"/>
      <c r="Q18" s="217"/>
    </row>
    <row r="21" spans="2:17" x14ac:dyDescent="0.15">
      <c r="B21" s="218" t="s">
        <v>264</v>
      </c>
      <c r="C21" s="62" t="s">
        <v>265</v>
      </c>
      <c r="E21" s="113">
        <f>'P&amp;L'!$D$35</f>
        <v>58000</v>
      </c>
      <c r="F21" s="214" t="s">
        <v>157</v>
      </c>
      <c r="G21" s="103">
        <f>E21/E22</f>
        <v>3.2351628737170905</v>
      </c>
      <c r="I21" s="113">
        <f>'P&amp;L'!$E$35</f>
        <v>45600</v>
      </c>
      <c r="J21" s="214" t="s">
        <v>157</v>
      </c>
      <c r="K21" s="103">
        <f>I21/I22</f>
        <v>3.6791996127158302</v>
      </c>
      <c r="M21" s="113">
        <f>'P&amp;L'!$F$35</f>
        <v>52400</v>
      </c>
      <c r="N21" s="214" t="s">
        <v>157</v>
      </c>
      <c r="O21" s="103">
        <f>M21/M22</f>
        <v>7.5898030127462341</v>
      </c>
      <c r="Q21" s="216" t="s">
        <v>274</v>
      </c>
    </row>
    <row r="22" spans="2:17" x14ac:dyDescent="0.15">
      <c r="B22" s="219"/>
      <c r="C22" s="66" t="s">
        <v>266</v>
      </c>
      <c r="E22" s="63">
        <f>'P&amp;L'!$D$21</f>
        <v>17928</v>
      </c>
      <c r="F22" s="215"/>
      <c r="G22" s="69"/>
      <c r="I22" s="63">
        <f>'P&amp;L'!$E$21</f>
        <v>12394</v>
      </c>
      <c r="J22" s="215"/>
      <c r="K22" s="69"/>
      <c r="M22" s="63">
        <f>'P&amp;L'!$F$21</f>
        <v>6904</v>
      </c>
      <c r="N22" s="215"/>
      <c r="O22" s="69"/>
      <c r="Q22" s="217"/>
    </row>
    <row r="25" spans="2:17" x14ac:dyDescent="0.15">
      <c r="B25" s="218" t="s">
        <v>301</v>
      </c>
      <c r="C25" s="62" t="s">
        <v>303</v>
      </c>
      <c r="E25" s="111">
        <f>'P&amp;L'!$D$36</f>
        <v>9</v>
      </c>
      <c r="F25" s="214" t="s">
        <v>157</v>
      </c>
      <c r="G25" s="101">
        <f>E25/E26</f>
        <v>7.5981426762346982E-2</v>
      </c>
      <c r="I25" s="111">
        <f>'P&amp;L'!$E$36</f>
        <v>6.3</v>
      </c>
      <c r="J25" s="214" t="s">
        <v>157</v>
      </c>
      <c r="K25" s="101">
        <f>I25/I26</f>
        <v>6.8366793271839379E-2</v>
      </c>
      <c r="M25" s="111">
        <f>'P&amp;L'!$F$36</f>
        <v>5.2</v>
      </c>
      <c r="N25" s="214" t="s">
        <v>157</v>
      </c>
      <c r="O25" s="101">
        <f>M25/M26</f>
        <v>4.9476688867745013E-2</v>
      </c>
      <c r="Q25" s="216" t="s">
        <v>306</v>
      </c>
    </row>
    <row r="26" spans="2:17" x14ac:dyDescent="0.15">
      <c r="B26" s="219"/>
      <c r="C26" s="66" t="s">
        <v>302</v>
      </c>
      <c r="E26" s="111">
        <f>'P&amp;L'!$D$33</f>
        <v>118.45</v>
      </c>
      <c r="F26" s="215"/>
      <c r="G26" s="69"/>
      <c r="I26" s="111">
        <f>'P&amp;L'!$E$33</f>
        <v>92.15</v>
      </c>
      <c r="J26" s="215"/>
      <c r="K26" s="69"/>
      <c r="M26" s="111">
        <f>'P&amp;L'!$F$33</f>
        <v>105.1</v>
      </c>
      <c r="N26" s="215"/>
      <c r="O26" s="69"/>
      <c r="Q26" s="217"/>
    </row>
    <row r="27" spans="2:17" x14ac:dyDescent="0.15">
      <c r="B27" s="77"/>
      <c r="C27" s="60"/>
      <c r="E27" s="122"/>
      <c r="F27" s="108"/>
      <c r="I27" s="122"/>
      <c r="J27" s="108"/>
      <c r="M27" s="122"/>
      <c r="N27" s="108"/>
      <c r="Q27" s="110"/>
    </row>
    <row r="28" spans="2:17" x14ac:dyDescent="0.15">
      <c r="B28" s="77"/>
      <c r="C28" s="60"/>
      <c r="E28" s="122"/>
      <c r="F28" s="108"/>
      <c r="I28" s="122"/>
      <c r="J28" s="108"/>
      <c r="M28" s="122"/>
      <c r="N28" s="108"/>
      <c r="Q28" s="110"/>
    </row>
    <row r="29" spans="2:17" x14ac:dyDescent="0.15">
      <c r="B29" s="218" t="s">
        <v>307</v>
      </c>
      <c r="C29" s="62" t="s">
        <v>308</v>
      </c>
      <c r="E29" s="111">
        <f>'P&amp;L'!$D$37</f>
        <v>9.06</v>
      </c>
      <c r="F29" s="214" t="s">
        <v>157</v>
      </c>
      <c r="G29" s="101">
        <f>E29/E30</f>
        <v>8.1037567084078721E-2</v>
      </c>
      <c r="I29" s="111">
        <f>'P&amp;L'!$E$37</f>
        <v>6.36</v>
      </c>
      <c r="J29" s="214" t="s">
        <v>157</v>
      </c>
      <c r="K29" s="101">
        <f>I29/I30</f>
        <v>7.1428571428571425E-2</v>
      </c>
      <c r="M29" s="111">
        <f>'P&amp;L'!$F$37</f>
        <v>5.26</v>
      </c>
      <c r="N29" s="214" t="s">
        <v>157</v>
      </c>
      <c r="O29" s="101">
        <f>M29/M30</f>
        <v>5.0796716562047317E-2</v>
      </c>
      <c r="Q29" s="216" t="s">
        <v>310</v>
      </c>
    </row>
    <row r="30" spans="2:17" x14ac:dyDescent="0.15">
      <c r="B30" s="219"/>
      <c r="C30" s="66" t="s">
        <v>309</v>
      </c>
      <c r="E30" s="111">
        <f>'P&amp;L'!$D$34</f>
        <v>111.8</v>
      </c>
      <c r="F30" s="215"/>
      <c r="G30" s="69"/>
      <c r="I30" s="111">
        <f>'P&amp;L'!$E$34</f>
        <v>89.04</v>
      </c>
      <c r="J30" s="215"/>
      <c r="K30" s="69"/>
      <c r="M30" s="111">
        <f>'P&amp;L'!$F$34</f>
        <v>103.55</v>
      </c>
      <c r="N30" s="215"/>
      <c r="O30" s="69"/>
      <c r="Q30" s="217"/>
    </row>
    <row r="33" spans="2:17" x14ac:dyDescent="0.15">
      <c r="B33" s="218" t="s">
        <v>267</v>
      </c>
      <c r="C33" s="62" t="s">
        <v>268</v>
      </c>
      <c r="E33" s="63">
        <f>'P&amp;L'!$D$21-'P&amp;L'!$D$40</f>
        <v>13404</v>
      </c>
      <c r="F33" s="214" t="s">
        <v>157</v>
      </c>
      <c r="G33" s="101">
        <f>E33/E34</f>
        <v>0.74765729585006691</v>
      </c>
      <c r="I33" s="63">
        <f>'P&amp;L'!$E$21-'P&amp;L'!$E$40</f>
        <v>9224</v>
      </c>
      <c r="J33" s="214" t="s">
        <v>157</v>
      </c>
      <c r="K33" s="101">
        <f>I33/I34</f>
        <v>0.7442310795546232</v>
      </c>
      <c r="M33" s="63">
        <f>'P&amp;L'!$F$21-'P&amp;L'!$F$40</f>
        <v>4285</v>
      </c>
      <c r="N33" s="214" t="s">
        <v>157</v>
      </c>
      <c r="O33" s="101">
        <f>M33/M34</f>
        <v>0.62065469293163389</v>
      </c>
      <c r="Q33" s="216" t="s">
        <v>275</v>
      </c>
    </row>
    <row r="34" spans="2:17" x14ac:dyDescent="0.15">
      <c r="B34" s="219"/>
      <c r="C34" s="66" t="s">
        <v>269</v>
      </c>
      <c r="E34" s="63">
        <f>'P&amp;L'!$D$21</f>
        <v>17928</v>
      </c>
      <c r="F34" s="215"/>
      <c r="G34" s="69"/>
      <c r="I34" s="63">
        <f>'P&amp;L'!$E$21</f>
        <v>12394</v>
      </c>
      <c r="J34" s="215"/>
      <c r="K34" s="69"/>
      <c r="M34" s="63">
        <f>'P&amp;L'!$F$21</f>
        <v>6904</v>
      </c>
      <c r="N34" s="215"/>
      <c r="O34" s="69"/>
      <c r="Q34" s="217"/>
    </row>
    <row r="37" spans="2:17" x14ac:dyDescent="0.15">
      <c r="B37" s="218" t="s">
        <v>270</v>
      </c>
      <c r="C37" s="62" t="s">
        <v>271</v>
      </c>
      <c r="E37" s="63">
        <f>'P&amp;L'!$D$40</f>
        <v>4524</v>
      </c>
      <c r="F37" s="214" t="s">
        <v>157</v>
      </c>
      <c r="G37" s="101">
        <f>E37/E38</f>
        <v>0.25234270414993304</v>
      </c>
      <c r="I37" s="63">
        <f>'P&amp;L'!$E$40</f>
        <v>3170</v>
      </c>
      <c r="J37" s="214" t="s">
        <v>157</v>
      </c>
      <c r="K37" s="101">
        <f>I37/I38</f>
        <v>0.2557689204453768</v>
      </c>
      <c r="M37" s="63">
        <f>'P&amp;L'!$F$40</f>
        <v>2619</v>
      </c>
      <c r="N37" s="214" t="s">
        <v>157</v>
      </c>
      <c r="O37" s="101">
        <f>M37/M38</f>
        <v>0.37934530706836617</v>
      </c>
      <c r="Q37" s="216" t="s">
        <v>276</v>
      </c>
    </row>
    <row r="38" spans="2:17" x14ac:dyDescent="0.15">
      <c r="B38" s="219"/>
      <c r="C38" s="66" t="s">
        <v>269</v>
      </c>
      <c r="E38" s="63">
        <f>'P&amp;L'!$D$21</f>
        <v>17928</v>
      </c>
      <c r="F38" s="215"/>
      <c r="G38" s="69"/>
      <c r="I38" s="63">
        <f>'P&amp;L'!$E$21</f>
        <v>12394</v>
      </c>
      <c r="J38" s="215"/>
      <c r="K38" s="69"/>
      <c r="M38" s="63">
        <f>'P&amp;L'!$F$21</f>
        <v>6904</v>
      </c>
      <c r="N38" s="215"/>
      <c r="O38" s="69"/>
      <c r="Q38" s="217"/>
    </row>
    <row r="41" spans="2:17" x14ac:dyDescent="0.15">
      <c r="B41" s="220" t="s">
        <v>296</v>
      </c>
      <c r="C41" s="221"/>
      <c r="E41" s="123"/>
      <c r="F41" s="89"/>
      <c r="G41" s="114">
        <f>$G$33*'Profitability Ratios'!$G$33</f>
        <v>7.280034759939169E-2</v>
      </c>
      <c r="I41" s="88"/>
      <c r="J41" s="89"/>
      <c r="K41" s="114">
        <f>$K$33*'Profitability Ratios'!$K$33</f>
        <v>4.7713265208473965E-2</v>
      </c>
      <c r="M41" s="88"/>
      <c r="N41" s="89"/>
      <c r="O41" s="114">
        <f>$O$33*'Profitability Ratios'!$O$33</f>
        <v>2.1436522130645223E-2</v>
      </c>
      <c r="Q41" s="116" t="s">
        <v>277</v>
      </c>
    </row>
  </sheetData>
  <mergeCells count="50">
    <mergeCell ref="B3:C3"/>
    <mergeCell ref="E3:G3"/>
    <mergeCell ref="I3:K3"/>
    <mergeCell ref="B5:B6"/>
    <mergeCell ref="F5:F6"/>
    <mergeCell ref="J5:J6"/>
    <mergeCell ref="B9:B10"/>
    <mergeCell ref="F9:F10"/>
    <mergeCell ref="J9:J10"/>
    <mergeCell ref="B21:B22"/>
    <mergeCell ref="F21:F22"/>
    <mergeCell ref="J21:J22"/>
    <mergeCell ref="B13:B14"/>
    <mergeCell ref="F13:F14"/>
    <mergeCell ref="J13:J14"/>
    <mergeCell ref="B17:B18"/>
    <mergeCell ref="B37:B38"/>
    <mergeCell ref="F37:F38"/>
    <mergeCell ref="J37:J38"/>
    <mergeCell ref="B41:C41"/>
    <mergeCell ref="M3:O3"/>
    <mergeCell ref="N5:N6"/>
    <mergeCell ref="N9:N10"/>
    <mergeCell ref="N21:N22"/>
    <mergeCell ref="N25:N26"/>
    <mergeCell ref="N33:N34"/>
    <mergeCell ref="B25:B26"/>
    <mergeCell ref="F25:F26"/>
    <mergeCell ref="J25:J26"/>
    <mergeCell ref="B33:B34"/>
    <mergeCell ref="F33:F34"/>
    <mergeCell ref="J33:J34"/>
    <mergeCell ref="N37:N38"/>
    <mergeCell ref="Q5:Q6"/>
    <mergeCell ref="Q9:Q10"/>
    <mergeCell ref="Q21:Q22"/>
    <mergeCell ref="Q25:Q26"/>
    <mergeCell ref="Q33:Q34"/>
    <mergeCell ref="Q37:Q38"/>
    <mergeCell ref="N13:N14"/>
    <mergeCell ref="Q13:Q14"/>
    <mergeCell ref="F17:F18"/>
    <mergeCell ref="J17:J18"/>
    <mergeCell ref="N17:N18"/>
    <mergeCell ref="Q17:Q18"/>
    <mergeCell ref="B29:B30"/>
    <mergeCell ref="F29:F30"/>
    <mergeCell ref="J29:J30"/>
    <mergeCell ref="N29:N30"/>
    <mergeCell ref="Q29:Q30"/>
  </mergeCells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4F-EC63-FC49-8B61-82DF272B63AC}">
  <dimension ref="B1:M30"/>
  <sheetViews>
    <sheetView zoomScale="248" workbookViewId="0"/>
  </sheetViews>
  <sheetFormatPr baseColWidth="10" defaultRowHeight="12" x14ac:dyDescent="0.15"/>
  <cols>
    <col min="1" max="1" width="2.1640625" style="7" customWidth="1"/>
    <col min="2" max="2" width="17.83203125" style="7" bestFit="1" customWidth="1"/>
    <col min="3" max="3" width="11.33203125" style="7" bestFit="1" customWidth="1"/>
    <col min="4" max="4" width="2" style="7" bestFit="1" customWidth="1"/>
    <col min="5" max="5" width="13.1640625" style="7" bestFit="1" customWidth="1"/>
    <col min="6" max="6" width="2" style="7" bestFit="1" customWidth="1"/>
    <col min="7" max="7" width="15.33203125" style="7" bestFit="1" customWidth="1"/>
    <col min="8" max="8" width="2" style="7" bestFit="1" customWidth="1"/>
    <col min="9" max="9" width="18" style="7" bestFit="1" customWidth="1"/>
    <col min="10" max="10" width="2" style="7" bestFit="1" customWidth="1"/>
    <col min="11" max="11" width="15.33203125" style="7" bestFit="1" customWidth="1"/>
    <col min="12" max="12" width="2" style="7" bestFit="1" customWidth="1"/>
    <col min="13" max="13" width="18" style="7" bestFit="1" customWidth="1"/>
    <col min="14" max="16384" width="10.83203125" style="7"/>
  </cols>
  <sheetData>
    <row r="1" spans="2:13" x14ac:dyDescent="0.15">
      <c r="B1" s="32" t="s">
        <v>312</v>
      </c>
    </row>
    <row r="3" spans="2:13" x14ac:dyDescent="0.15">
      <c r="B3" s="32" t="s">
        <v>313</v>
      </c>
      <c r="C3" s="124" t="s">
        <v>314</v>
      </c>
      <c r="D3" s="125" t="s">
        <v>157</v>
      </c>
      <c r="E3" s="125" t="s">
        <v>315</v>
      </c>
      <c r="F3" s="125" t="s">
        <v>316</v>
      </c>
      <c r="G3" s="126" t="s">
        <v>317</v>
      </c>
      <c r="I3" s="60"/>
      <c r="K3" s="60"/>
      <c r="M3" s="60"/>
    </row>
    <row r="4" spans="2:13" x14ac:dyDescent="0.15">
      <c r="C4" s="60"/>
      <c r="E4" s="60"/>
      <c r="G4" s="60"/>
      <c r="I4" s="60"/>
      <c r="K4" s="60"/>
      <c r="M4" s="60"/>
    </row>
    <row r="5" spans="2:13" x14ac:dyDescent="0.15">
      <c r="C5" s="115" t="s">
        <v>245</v>
      </c>
      <c r="D5" s="214" t="s">
        <v>157</v>
      </c>
      <c r="E5" s="127" t="s">
        <v>245</v>
      </c>
      <c r="F5" s="214" t="s">
        <v>316</v>
      </c>
      <c r="G5" s="62" t="s">
        <v>179</v>
      </c>
      <c r="I5" s="60"/>
      <c r="K5" s="60"/>
      <c r="M5" s="60"/>
    </row>
    <row r="6" spans="2:13" x14ac:dyDescent="0.15">
      <c r="C6" s="128" t="s">
        <v>251</v>
      </c>
      <c r="D6" s="215"/>
      <c r="E6" s="87" t="s">
        <v>179</v>
      </c>
      <c r="F6" s="215"/>
      <c r="G6" s="66" t="s">
        <v>251</v>
      </c>
      <c r="I6" s="60"/>
      <c r="K6" s="60"/>
      <c r="M6" s="60"/>
    </row>
    <row r="7" spans="2:13" x14ac:dyDescent="0.15">
      <c r="C7" s="60"/>
      <c r="D7" s="108"/>
      <c r="E7" s="60"/>
      <c r="F7" s="108"/>
      <c r="G7" s="60"/>
      <c r="I7" s="60"/>
      <c r="K7" s="60"/>
      <c r="M7" s="60"/>
    </row>
    <row r="8" spans="2:13" x14ac:dyDescent="0.15">
      <c r="B8" s="129" t="s">
        <v>199</v>
      </c>
      <c r="C8" s="130">
        <f>E8*G8</f>
        <v>3.4538564478407148E-2</v>
      </c>
      <c r="D8" s="131" t="s">
        <v>157</v>
      </c>
      <c r="E8" s="132">
        <f>'Profitability Ratios'!$O$17</f>
        <v>2.1446788417988711E-2</v>
      </c>
      <c r="F8" s="131" t="s">
        <v>316</v>
      </c>
      <c r="G8" s="133">
        <f>'Activity Ratios'!$O$48</f>
        <v>1.6104306064509675</v>
      </c>
      <c r="I8" s="60"/>
      <c r="K8" s="60"/>
      <c r="M8" s="60"/>
    </row>
    <row r="9" spans="2:13" x14ac:dyDescent="0.15">
      <c r="B9" s="129" t="s">
        <v>198</v>
      </c>
      <c r="C9" s="151">
        <f>E9*G9</f>
        <v>6.4110820576086983E-2</v>
      </c>
      <c r="D9" s="7" t="s">
        <v>157</v>
      </c>
      <c r="E9" s="149">
        <f>'Profitability Ratios'!$K$17</f>
        <v>3.8175792223153121E-2</v>
      </c>
      <c r="F9" s="7" t="s">
        <v>316</v>
      </c>
      <c r="G9" s="152">
        <f>'Activity Ratios'!$K$48</f>
        <v>1.6793579607027671</v>
      </c>
      <c r="I9" s="60"/>
      <c r="K9" s="60"/>
      <c r="M9" s="60"/>
    </row>
    <row r="10" spans="2:13" x14ac:dyDescent="0.15">
      <c r="B10" s="129" t="s">
        <v>197</v>
      </c>
      <c r="C10" s="134">
        <f>E10*G10</f>
        <v>9.7371279600260693E-2</v>
      </c>
      <c r="D10" s="135" t="s">
        <v>157</v>
      </c>
      <c r="E10" s="136">
        <f>'Profitability Ratios'!$G$17</f>
        <v>5.5627955467848232E-2</v>
      </c>
      <c r="F10" s="135" t="s">
        <v>316</v>
      </c>
      <c r="G10" s="137">
        <f>'Activity Ratios'!$G$48</f>
        <v>1.7504019117966543</v>
      </c>
      <c r="I10" s="60"/>
      <c r="K10" s="60"/>
      <c r="M10" s="60"/>
    </row>
    <row r="11" spans="2:13" x14ac:dyDescent="0.15">
      <c r="C11" s="60"/>
      <c r="E11" s="60"/>
      <c r="G11" s="60"/>
      <c r="I11" s="60"/>
      <c r="K11" s="60"/>
      <c r="M11" s="60"/>
    </row>
    <row r="12" spans="2:13" x14ac:dyDescent="0.15">
      <c r="E12" s="60"/>
      <c r="G12" s="60"/>
      <c r="I12" s="60"/>
      <c r="K12" s="60"/>
      <c r="M12" s="60"/>
    </row>
    <row r="13" spans="2:13" x14ac:dyDescent="0.15">
      <c r="B13" s="32" t="s">
        <v>318</v>
      </c>
      <c r="C13" s="53" t="s">
        <v>314</v>
      </c>
      <c r="D13" s="56" t="s">
        <v>157</v>
      </c>
      <c r="E13" s="56" t="s">
        <v>315</v>
      </c>
      <c r="F13" s="56" t="s">
        <v>316</v>
      </c>
      <c r="G13" s="56" t="s">
        <v>319</v>
      </c>
      <c r="H13" s="56" t="s">
        <v>316</v>
      </c>
      <c r="I13" s="54" t="s">
        <v>320</v>
      </c>
      <c r="J13" s="138"/>
      <c r="K13" s="60"/>
      <c r="M13" s="60"/>
    </row>
    <row r="14" spans="2:13" x14ac:dyDescent="0.15">
      <c r="C14" s="60"/>
      <c r="E14" s="60"/>
      <c r="G14" s="60"/>
      <c r="I14" s="60"/>
      <c r="K14" s="60"/>
      <c r="M14" s="60"/>
    </row>
    <row r="15" spans="2:13" x14ac:dyDescent="0.15">
      <c r="C15" s="104" t="s">
        <v>245</v>
      </c>
      <c r="D15" s="214" t="s">
        <v>157</v>
      </c>
      <c r="E15" s="105" t="s">
        <v>245</v>
      </c>
      <c r="F15" s="214" t="s">
        <v>316</v>
      </c>
      <c r="G15" s="105" t="s">
        <v>179</v>
      </c>
      <c r="H15" s="214" t="s">
        <v>316</v>
      </c>
      <c r="I15" s="106" t="s">
        <v>187</v>
      </c>
      <c r="J15" s="108"/>
      <c r="K15" s="139"/>
      <c r="M15" s="60"/>
    </row>
    <row r="16" spans="2:13" x14ac:dyDescent="0.15">
      <c r="C16" s="140" t="s">
        <v>251</v>
      </c>
      <c r="D16" s="215"/>
      <c r="E16" s="68" t="s">
        <v>179</v>
      </c>
      <c r="F16" s="215"/>
      <c r="G16" s="68" t="s">
        <v>187</v>
      </c>
      <c r="H16" s="215"/>
      <c r="I16" s="141" t="s">
        <v>251</v>
      </c>
      <c r="J16" s="108"/>
      <c r="K16" s="60"/>
      <c r="M16" s="60"/>
    </row>
    <row r="17" spans="2:13" x14ac:dyDescent="0.15">
      <c r="C17" s="60"/>
      <c r="E17" s="60"/>
      <c r="G17" s="60"/>
      <c r="I17" s="60"/>
      <c r="K17" s="60"/>
      <c r="M17" s="60"/>
    </row>
    <row r="18" spans="2:13" x14ac:dyDescent="0.15">
      <c r="B18" s="129" t="s">
        <v>199</v>
      </c>
      <c r="C18" s="130">
        <f>E18*G18*I18</f>
        <v>3.4538564478407141E-2</v>
      </c>
      <c r="D18" s="131" t="s">
        <v>157</v>
      </c>
      <c r="E18" s="132">
        <f>'Profitability Ratios'!$O$17</f>
        <v>2.1446788417988711E-2</v>
      </c>
      <c r="F18" s="131" t="s">
        <v>316</v>
      </c>
      <c r="G18" s="142">
        <f>'Activity Ratios'!$O$37</f>
        <v>0.50402388654205665</v>
      </c>
      <c r="H18" s="131" t="s">
        <v>316</v>
      </c>
      <c r="I18" s="133">
        <f>'Solvency Ratios'!$O$25</f>
        <v>3.1951473917230513</v>
      </c>
      <c r="J18" s="143"/>
      <c r="K18" s="60"/>
      <c r="M18" s="60"/>
    </row>
    <row r="19" spans="2:13" x14ac:dyDescent="0.15">
      <c r="B19" s="129" t="s">
        <v>198</v>
      </c>
      <c r="C19" s="151">
        <f>E19*G19*I19</f>
        <v>6.4110820576086983E-2</v>
      </c>
      <c r="D19" s="7" t="s">
        <v>157</v>
      </c>
      <c r="E19" s="149">
        <f>'Profitability Ratios'!$K$17</f>
        <v>3.8175792223153121E-2</v>
      </c>
      <c r="F19" s="7" t="s">
        <v>316</v>
      </c>
      <c r="G19" s="150">
        <f>'Activity Ratios'!$K$37</f>
        <v>0.52650775232456215</v>
      </c>
      <c r="H19" s="7" t="s">
        <v>316</v>
      </c>
      <c r="I19" s="152">
        <f>'Solvency Ratios'!$K$25</f>
        <v>3.1896167782683249</v>
      </c>
      <c r="J19" s="143"/>
      <c r="K19" s="60"/>
      <c r="M19" s="60"/>
    </row>
    <row r="20" spans="2:13" x14ac:dyDescent="0.15">
      <c r="B20" s="129" t="s">
        <v>197</v>
      </c>
      <c r="C20" s="134">
        <f>E20*G20*I20</f>
        <v>9.7371279600260693E-2</v>
      </c>
      <c r="D20" s="135" t="s">
        <v>157</v>
      </c>
      <c r="E20" s="136">
        <f>'Profitability Ratios'!$G$17</f>
        <v>5.5627955467848232E-2</v>
      </c>
      <c r="F20" s="135" t="s">
        <v>316</v>
      </c>
      <c r="G20" s="144">
        <f>'Activity Ratios'!$G$37</f>
        <v>0.55358564556564127</v>
      </c>
      <c r="H20" s="135" t="s">
        <v>316</v>
      </c>
      <c r="I20" s="137">
        <f>'Solvency Ratios'!$G$25</f>
        <v>3.1619351509884859</v>
      </c>
      <c r="J20" s="143"/>
      <c r="K20" s="60"/>
      <c r="M20" s="60"/>
    </row>
    <row r="21" spans="2:13" x14ac:dyDescent="0.15">
      <c r="C21" s="60"/>
      <c r="E21" s="60"/>
      <c r="G21" s="60"/>
      <c r="I21" s="60"/>
      <c r="K21" s="60"/>
      <c r="M21" s="60"/>
    </row>
    <row r="22" spans="2:13" x14ac:dyDescent="0.15">
      <c r="C22" s="60"/>
      <c r="E22" s="60"/>
      <c r="G22" s="60"/>
      <c r="I22" s="60"/>
      <c r="K22" s="60"/>
      <c r="M22" s="60"/>
    </row>
    <row r="23" spans="2:13" x14ac:dyDescent="0.15">
      <c r="B23" s="32" t="s">
        <v>321</v>
      </c>
      <c r="C23" s="53" t="s">
        <v>314</v>
      </c>
      <c r="D23" s="56" t="s">
        <v>157</v>
      </c>
      <c r="E23" s="56" t="s">
        <v>322</v>
      </c>
      <c r="F23" s="56" t="s">
        <v>316</v>
      </c>
      <c r="G23" s="56" t="s">
        <v>323</v>
      </c>
      <c r="H23" s="56" t="s">
        <v>316</v>
      </c>
      <c r="I23" s="56" t="s">
        <v>324</v>
      </c>
      <c r="J23" s="56" t="s">
        <v>316</v>
      </c>
      <c r="K23" s="56" t="s">
        <v>319</v>
      </c>
      <c r="L23" s="56" t="s">
        <v>316</v>
      </c>
      <c r="M23" s="54" t="s">
        <v>320</v>
      </c>
    </row>
    <row r="24" spans="2:13" x14ac:dyDescent="0.15">
      <c r="C24" s="60"/>
      <c r="E24" s="60"/>
      <c r="G24" s="60"/>
      <c r="I24" s="60"/>
      <c r="K24" s="60"/>
      <c r="M24" s="60"/>
    </row>
    <row r="25" spans="2:13" x14ac:dyDescent="0.15">
      <c r="C25" s="104" t="s">
        <v>245</v>
      </c>
      <c r="D25" s="214" t="s">
        <v>157</v>
      </c>
      <c r="E25" s="105" t="s">
        <v>245</v>
      </c>
      <c r="F25" s="214" t="s">
        <v>316</v>
      </c>
      <c r="G25" s="105" t="s">
        <v>243</v>
      </c>
      <c r="H25" s="214" t="s">
        <v>316</v>
      </c>
      <c r="I25" s="105" t="s">
        <v>325</v>
      </c>
      <c r="J25" s="214" t="s">
        <v>316</v>
      </c>
      <c r="K25" s="105" t="s">
        <v>179</v>
      </c>
      <c r="L25" s="214" t="s">
        <v>316</v>
      </c>
      <c r="M25" s="106" t="s">
        <v>187</v>
      </c>
    </row>
    <row r="26" spans="2:13" x14ac:dyDescent="0.15">
      <c r="C26" s="140" t="s">
        <v>251</v>
      </c>
      <c r="D26" s="215"/>
      <c r="E26" s="68" t="s">
        <v>243</v>
      </c>
      <c r="F26" s="215"/>
      <c r="G26" s="68" t="s">
        <v>325</v>
      </c>
      <c r="H26" s="215"/>
      <c r="I26" s="68" t="s">
        <v>179</v>
      </c>
      <c r="J26" s="215"/>
      <c r="K26" s="68" t="s">
        <v>187</v>
      </c>
      <c r="L26" s="215"/>
      <c r="M26" s="141" t="s">
        <v>251</v>
      </c>
    </row>
    <row r="27" spans="2:13" x14ac:dyDescent="0.15">
      <c r="C27" s="60"/>
      <c r="D27" s="145"/>
      <c r="E27" s="139"/>
      <c r="F27" s="145"/>
      <c r="G27" s="139"/>
      <c r="H27" s="145"/>
      <c r="I27" s="139"/>
      <c r="J27" s="145"/>
      <c r="K27" s="139"/>
      <c r="L27" s="145"/>
      <c r="M27" s="60"/>
    </row>
    <row r="28" spans="2:13" x14ac:dyDescent="0.15">
      <c r="B28" s="129" t="s">
        <v>199</v>
      </c>
      <c r="C28" s="130">
        <f>E28*G28*I28*K28*M28</f>
        <v>3.4538564478407148E-2</v>
      </c>
      <c r="D28" s="131" t="s">
        <v>157</v>
      </c>
      <c r="E28" s="146">
        <f>'P&amp;L'!$F$21/'P&amp;L'!$F$17</f>
        <v>0.74180724186096492</v>
      </c>
      <c r="F28" s="131" t="s">
        <v>316</v>
      </c>
      <c r="G28" s="146">
        <f>'P&amp;L'!$F$17/'P&amp;L'!$F$11</f>
        <v>1.0495038340099234</v>
      </c>
      <c r="H28" s="131" t="s">
        <v>316</v>
      </c>
      <c r="I28" s="132">
        <f>'Profitability Ratios'!$O$9</f>
        <v>2.7547815714183646E-2</v>
      </c>
      <c r="J28" s="131" t="s">
        <v>316</v>
      </c>
      <c r="K28" s="142">
        <f>G18</f>
        <v>0.50402388654205665</v>
      </c>
      <c r="L28" s="131" t="s">
        <v>316</v>
      </c>
      <c r="M28" s="133">
        <f>I18</f>
        <v>3.1951473917230513</v>
      </c>
    </row>
    <row r="29" spans="2:13" x14ac:dyDescent="0.15">
      <c r="B29" s="129" t="s">
        <v>198</v>
      </c>
      <c r="C29" s="154">
        <f>E29*G29*I29*K29*M29</f>
        <v>6.4110820576086983E-2</v>
      </c>
      <c r="D29" s="7" t="s">
        <v>157</v>
      </c>
      <c r="E29" s="153">
        <f>'P&amp;L'!$E$21/'P&amp;L'!$E$17</f>
        <v>0.73747471141259069</v>
      </c>
      <c r="F29" s="7" t="s">
        <v>316</v>
      </c>
      <c r="G29" s="153">
        <f>'P&amp;L'!$E$17/'P&amp;L'!$E$11</f>
        <v>0.8817418677859391</v>
      </c>
      <c r="H29" s="7" t="s">
        <v>316</v>
      </c>
      <c r="I29" s="149">
        <f>'Profitability Ratios'!$K$9</f>
        <v>5.8708294317677788E-2</v>
      </c>
      <c r="J29" s="7" t="s">
        <v>316</v>
      </c>
      <c r="K29" s="150">
        <f>G19</f>
        <v>0.52650775232456215</v>
      </c>
      <c r="L29" s="7" t="s">
        <v>316</v>
      </c>
      <c r="M29" s="152">
        <f>I19</f>
        <v>3.1896167782683249</v>
      </c>
    </row>
    <row r="30" spans="2:13" x14ac:dyDescent="0.15">
      <c r="B30" s="129" t="s">
        <v>197</v>
      </c>
      <c r="C30" s="147">
        <f>E30*G30*I30*K30*M30</f>
        <v>9.7371279600260693E-2</v>
      </c>
      <c r="D30" s="135" t="s">
        <v>157</v>
      </c>
      <c r="E30" s="148">
        <f>'P&amp;L'!$D$21/'P&amp;L'!$D$17</f>
        <v>0.77295852375614382</v>
      </c>
      <c r="F30" s="135" t="s">
        <v>316</v>
      </c>
      <c r="G30" s="148">
        <f>'P&amp;L'!$D$17/'P&amp;L'!$D$11</f>
        <v>1.0273742026931254</v>
      </c>
      <c r="H30" s="135" t="s">
        <v>316</v>
      </c>
      <c r="I30" s="136">
        <f>'Profitability Ratios'!$G$9</f>
        <v>7.0050017996549627E-2</v>
      </c>
      <c r="J30" s="135" t="s">
        <v>316</v>
      </c>
      <c r="K30" s="144">
        <f>G20</f>
        <v>0.55358564556564127</v>
      </c>
      <c r="L30" s="135" t="s">
        <v>316</v>
      </c>
      <c r="M30" s="137">
        <f>I20</f>
        <v>3.1619351509884859</v>
      </c>
    </row>
  </sheetData>
  <mergeCells count="10">
    <mergeCell ref="J25:J26"/>
    <mergeCell ref="L25:L26"/>
    <mergeCell ref="D5:D6"/>
    <mergeCell ref="F5:F6"/>
    <mergeCell ref="D15:D16"/>
    <mergeCell ref="F15:F16"/>
    <mergeCell ref="H15:H16"/>
    <mergeCell ref="D25:D26"/>
    <mergeCell ref="F25:F26"/>
    <mergeCell ref="H25:H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B384-C188-D743-B4CC-06DDAA8498AD}">
  <dimension ref="B1:J10"/>
  <sheetViews>
    <sheetView zoomScale="283" workbookViewId="0"/>
  </sheetViews>
  <sheetFormatPr baseColWidth="10" defaultRowHeight="12" x14ac:dyDescent="0.15"/>
  <cols>
    <col min="1" max="1" width="2.1640625" style="7" customWidth="1"/>
    <col min="2" max="2" width="39.5" style="7" bestFit="1" customWidth="1"/>
    <col min="3" max="16384" width="10.83203125" style="7"/>
  </cols>
  <sheetData>
    <row r="1" spans="2:10" x14ac:dyDescent="0.15">
      <c r="B1" s="155" t="s">
        <v>326</v>
      </c>
    </row>
    <row r="2" spans="2:10" ht="13" thickBot="1" x14ac:dyDescent="0.2"/>
    <row r="3" spans="2:10" ht="13" thickBot="1" x14ac:dyDescent="0.2">
      <c r="D3" s="234" t="s">
        <v>340</v>
      </c>
      <c r="E3" s="235"/>
      <c r="F3" s="234" t="s">
        <v>341</v>
      </c>
      <c r="G3" s="235"/>
      <c r="H3" s="234" t="s">
        <v>342</v>
      </c>
      <c r="I3" s="235"/>
    </row>
    <row r="4" spans="2:10" ht="13" thickBot="1" x14ac:dyDescent="0.2">
      <c r="B4" s="177" t="s">
        <v>327</v>
      </c>
      <c r="C4" s="180" t="s">
        <v>328</v>
      </c>
      <c r="D4" s="177" t="s">
        <v>153</v>
      </c>
      <c r="E4" s="178" t="s">
        <v>329</v>
      </c>
      <c r="F4" s="177" t="s">
        <v>153</v>
      </c>
      <c r="G4" s="178" t="s">
        <v>329</v>
      </c>
      <c r="H4" s="177" t="s">
        <v>153</v>
      </c>
      <c r="I4" s="178" t="s">
        <v>329</v>
      </c>
      <c r="J4" s="179" t="s">
        <v>330</v>
      </c>
    </row>
    <row r="5" spans="2:10" x14ac:dyDescent="0.15">
      <c r="B5" s="156" t="s">
        <v>331</v>
      </c>
      <c r="C5" s="157">
        <v>1.2</v>
      </c>
      <c r="D5" s="158">
        <f>('Balance Sheet'!$F$29-'Balance Sheet'!$F$64)/'Balance Sheet'!$F$31</f>
        <v>3.3112634161252631E-2</v>
      </c>
      <c r="E5" s="159">
        <f>$C$5*$D$5</f>
        <v>3.9735160993503153E-2</v>
      </c>
      <c r="F5" s="158">
        <f>('Balance Sheet'!$E$29-'Balance Sheet'!$E$64)/'Balance Sheet'!$E$31</f>
        <v>4.4543809892479913E-2</v>
      </c>
      <c r="G5" s="159">
        <f>$C$5*$F$5</f>
        <v>5.3452571870975893E-2</v>
      </c>
      <c r="H5" s="158">
        <f>('Balance Sheet'!$D$29-'Balance Sheet'!$D$64)/'Balance Sheet'!$D$31</f>
        <v>5.6251644906702557E-2</v>
      </c>
      <c r="I5" s="181">
        <f>$C$5*$H$5</f>
        <v>6.7501973888043063E-2</v>
      </c>
      <c r="J5" s="160" t="s">
        <v>332</v>
      </c>
    </row>
    <row r="6" spans="2:10" x14ac:dyDescent="0.15">
      <c r="B6" s="161" t="s">
        <v>333</v>
      </c>
      <c r="C6" s="162">
        <v>1.4</v>
      </c>
      <c r="D6" s="163">
        <f>'Balance Sheet'!$F$38/'Balance Sheet'!$F$31</f>
        <v>0.25037278867653423</v>
      </c>
      <c r="E6" s="164">
        <f>$C$6*$D$6</f>
        <v>0.3505219041471479</v>
      </c>
      <c r="F6" s="163">
        <f>'Balance Sheet'!$E$38/'Balance Sheet'!$E$31</f>
        <v>0.24510787558954344</v>
      </c>
      <c r="G6" s="164">
        <f>$C$6*$F$6</f>
        <v>0.34315102582536078</v>
      </c>
      <c r="H6" s="163">
        <f>'Balance Sheet'!$D$38/'Balance Sheet'!$D$31</f>
        <v>0.24624461553324961</v>
      </c>
      <c r="I6" s="182">
        <f>$C$6*$H$6</f>
        <v>0.34474246174654943</v>
      </c>
      <c r="J6" s="165" t="s">
        <v>334</v>
      </c>
    </row>
    <row r="7" spans="2:10" x14ac:dyDescent="0.15">
      <c r="B7" s="161" t="s">
        <v>335</v>
      </c>
      <c r="C7" s="162">
        <v>3.3</v>
      </c>
      <c r="D7" s="163">
        <f>'P&amp;L'!$F$11/'Balance Sheet'!$F$31</f>
        <v>1.3760208047890738E-2</v>
      </c>
      <c r="E7" s="164">
        <f>$C$7*$D$7</f>
        <v>4.5408686558039431E-2</v>
      </c>
      <c r="F7" s="163">
        <f>'P&amp;L'!$E$11/'Balance Sheet'!$E$31</f>
        <v>3.0115104162552041E-2</v>
      </c>
      <c r="G7" s="164">
        <f>$C$7*$F$7</f>
        <v>9.9379843736421725E-2</v>
      </c>
      <c r="H7" s="163">
        <f>'P&amp;L'!$D$11/'Balance Sheet'!$D$31</f>
        <v>3.760548224500198E-2</v>
      </c>
      <c r="I7" s="182">
        <f>$C$7*$H$7</f>
        <v>0.12409809140850653</v>
      </c>
      <c r="J7" s="165" t="s">
        <v>336</v>
      </c>
    </row>
    <row r="8" spans="2:10" x14ac:dyDescent="0.15">
      <c r="B8" s="161" t="s">
        <v>344</v>
      </c>
      <c r="C8" s="166">
        <v>1</v>
      </c>
      <c r="D8" s="163">
        <f>'P&amp;L'!$F$4/'Balance Sheet'!$F$31</f>
        <v>0.4995026898196494</v>
      </c>
      <c r="E8" s="164">
        <f>$C$8*$D$8</f>
        <v>0.4995026898196494</v>
      </c>
      <c r="F8" s="163">
        <f>'P&amp;L'!$E$4/'Balance Sheet'!$E$31</f>
        <v>0.51296166091277517</v>
      </c>
      <c r="G8" s="164">
        <f>$C$8*$F$8</f>
        <v>0.51296166091277517</v>
      </c>
      <c r="H8" s="163">
        <f>'P&amp;L'!$D$4/'Balance Sheet'!$D$31</f>
        <v>0.53683758149575744</v>
      </c>
      <c r="I8" s="182">
        <f>$C$8*$H$8</f>
        <v>0.53683758149575744</v>
      </c>
      <c r="J8" s="165" t="s">
        <v>337</v>
      </c>
    </row>
    <row r="9" spans="2:10" ht="13" thickBot="1" x14ac:dyDescent="0.2">
      <c r="B9" s="167" t="s">
        <v>343</v>
      </c>
      <c r="C9" s="168">
        <v>0.6</v>
      </c>
      <c r="D9" s="169">
        <f>'P&amp;L'!$F$35/'Balance Sheet'!$F$66</f>
        <v>0.11870968911201074</v>
      </c>
      <c r="E9" s="170">
        <f>$C$9*$D$9</f>
        <v>7.1225813467206439E-2</v>
      </c>
      <c r="F9" s="169">
        <f>'P&amp;L'!$E$35/'Balance Sheet'!$E$66</f>
        <v>0.10454543370306346</v>
      </c>
      <c r="G9" s="170">
        <f>$C$9*$F$9</f>
        <v>6.2727260221838069E-2</v>
      </c>
      <c r="H9" s="169">
        <f>'P&amp;L'!$D$35/'Balance Sheet'!$D$66</f>
        <v>0.14131658325739596</v>
      </c>
      <c r="I9" s="183">
        <f>$C$9*$H$9</f>
        <v>8.4789949954437574E-2</v>
      </c>
      <c r="J9" s="171" t="s">
        <v>338</v>
      </c>
    </row>
    <row r="10" spans="2:10" ht="13" thickBot="1" x14ac:dyDescent="0.2">
      <c r="B10" s="172" t="s">
        <v>339</v>
      </c>
      <c r="C10" s="173"/>
      <c r="D10" s="174"/>
      <c r="E10" s="175">
        <f>SUM($E$5:$E$9)</f>
        <v>1.0063942549855462</v>
      </c>
      <c r="F10" s="176"/>
      <c r="G10" s="175">
        <f>SUM($G$5:$G$9)</f>
        <v>1.0716723625673716</v>
      </c>
      <c r="H10" s="176"/>
      <c r="I10" s="175">
        <f>SUM($I$5:$I$9)</f>
        <v>1.1579700584932939</v>
      </c>
    </row>
  </sheetData>
  <mergeCells count="3">
    <mergeCell ref="D3:E3"/>
    <mergeCell ref="F3:G3"/>
    <mergeCell ref="H3:I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579D-E879-7E4F-8896-31EBC2538373}">
  <dimension ref="B1:Q37"/>
  <sheetViews>
    <sheetView zoomScale="261" zoomScaleNormal="262" workbookViewId="0"/>
  </sheetViews>
  <sheetFormatPr baseColWidth="10" defaultRowHeight="12" x14ac:dyDescent="0.15"/>
  <cols>
    <col min="1" max="1" width="2.1640625" style="7" customWidth="1"/>
    <col min="2" max="2" width="34.33203125" style="7" bestFit="1" customWidth="1"/>
    <col min="3" max="3" width="8.1640625" style="7" bestFit="1" customWidth="1"/>
    <col min="4" max="4" width="9.83203125" style="7" bestFit="1" customWidth="1"/>
    <col min="5" max="5" width="12.6640625" style="7" bestFit="1" customWidth="1"/>
    <col min="6" max="6" width="15.33203125" style="7" bestFit="1" customWidth="1"/>
    <col min="7" max="7" width="18.1640625" style="7" bestFit="1" customWidth="1"/>
    <col min="8" max="8" width="7.6640625" style="7" bestFit="1" customWidth="1"/>
    <col min="9" max="9" width="9.83203125" style="7" bestFit="1" customWidth="1"/>
    <col min="10" max="10" width="12.6640625" style="7" bestFit="1" customWidth="1"/>
    <col min="11" max="11" width="15.33203125" style="7" bestFit="1" customWidth="1"/>
    <col min="12" max="12" width="18.1640625" style="7" bestFit="1" customWidth="1"/>
    <col min="13" max="13" width="7.6640625" style="7" bestFit="1" customWidth="1"/>
    <col min="14" max="14" width="9.83203125" style="7" bestFit="1" customWidth="1"/>
    <col min="15" max="15" width="12.6640625" style="7" bestFit="1" customWidth="1"/>
    <col min="16" max="16" width="15.33203125" style="7" bestFit="1" customWidth="1"/>
    <col min="17" max="17" width="18.1640625" style="7" bestFit="1" customWidth="1"/>
    <col min="18" max="16384" width="10.83203125" style="7"/>
  </cols>
  <sheetData>
    <row r="1" spans="2:17" x14ac:dyDescent="0.15">
      <c r="B1" s="32" t="s">
        <v>345</v>
      </c>
    </row>
    <row r="3" spans="2:17" x14ac:dyDescent="0.15">
      <c r="C3" s="236" t="s">
        <v>342</v>
      </c>
      <c r="D3" s="237"/>
      <c r="E3" s="237"/>
      <c r="F3" s="237"/>
      <c r="G3" s="238"/>
      <c r="H3" s="236" t="s">
        <v>341</v>
      </c>
      <c r="I3" s="237"/>
      <c r="J3" s="237"/>
      <c r="K3" s="237"/>
      <c r="L3" s="238"/>
      <c r="M3" s="236" t="s">
        <v>340</v>
      </c>
      <c r="N3" s="237"/>
      <c r="O3" s="237"/>
      <c r="P3" s="237"/>
      <c r="Q3" s="238"/>
    </row>
    <row r="4" spans="2:17" x14ac:dyDescent="0.15">
      <c r="B4" s="52"/>
      <c r="C4" s="193" t="s">
        <v>346</v>
      </c>
      <c r="D4" s="198" t="s">
        <v>347</v>
      </c>
      <c r="E4" s="198" t="s">
        <v>16</v>
      </c>
      <c r="F4" s="198" t="s">
        <v>348</v>
      </c>
      <c r="G4" s="194" t="s">
        <v>350</v>
      </c>
      <c r="H4" s="193" t="s">
        <v>346</v>
      </c>
      <c r="I4" s="198" t="s">
        <v>347</v>
      </c>
      <c r="J4" s="198" t="s">
        <v>16</v>
      </c>
      <c r="K4" s="198" t="s">
        <v>348</v>
      </c>
      <c r="L4" s="194" t="s">
        <v>350</v>
      </c>
      <c r="M4" s="193" t="s">
        <v>346</v>
      </c>
      <c r="N4" s="198" t="s">
        <v>347</v>
      </c>
      <c r="O4" s="198" t="s">
        <v>16</v>
      </c>
      <c r="P4" s="198" t="s">
        <v>348</v>
      </c>
      <c r="Q4" s="194" t="s">
        <v>350</v>
      </c>
    </row>
    <row r="5" spans="2:17" ht="13" x14ac:dyDescent="0.15">
      <c r="B5" s="195" t="s">
        <v>351</v>
      </c>
      <c r="C5" s="184">
        <v>245680</v>
      </c>
      <c r="D5" s="185">
        <v>44751</v>
      </c>
      <c r="E5" s="185">
        <v>19432</v>
      </c>
      <c r="F5" s="186">
        <f>D5/C5</f>
        <v>0.18215157929013351</v>
      </c>
      <c r="G5" s="187">
        <f>E5/C5</f>
        <v>7.9094757408010419E-2</v>
      </c>
      <c r="H5" s="184">
        <v>241526</v>
      </c>
      <c r="I5" s="185">
        <v>41989</v>
      </c>
      <c r="J5" s="185">
        <v>13656</v>
      </c>
      <c r="K5" s="186">
        <f>I5/H5</f>
        <v>0.17384877818537134</v>
      </c>
      <c r="L5" s="187">
        <f>J5/H5</f>
        <v>5.6540496675306182E-2</v>
      </c>
      <c r="M5" s="184">
        <v>244484</v>
      </c>
      <c r="N5" s="185">
        <v>33497</v>
      </c>
      <c r="O5" s="185">
        <v>4966</v>
      </c>
      <c r="P5" s="186">
        <f>N5/M5</f>
        <v>0.13701101094550155</v>
      </c>
      <c r="Q5" s="187">
        <f>O5/M5</f>
        <v>2.0312167667413818E-2</v>
      </c>
    </row>
    <row r="6" spans="2:17" x14ac:dyDescent="0.15">
      <c r="B6" s="196" t="s">
        <v>352</v>
      </c>
      <c r="C6" s="184">
        <v>45731</v>
      </c>
      <c r="D6" s="185">
        <v>8781</v>
      </c>
      <c r="E6" s="185">
        <v>3714</v>
      </c>
      <c r="F6" s="186">
        <f t="shared" ref="F6:F10" si="0">D6/C6</f>
        <v>0.19201416981915986</v>
      </c>
      <c r="G6" s="187">
        <f t="shared" ref="G6:G10" si="1">E6/C6</f>
        <v>8.1214056110734512E-2</v>
      </c>
      <c r="H6" s="184">
        <v>46183</v>
      </c>
      <c r="I6" s="185">
        <v>9664</v>
      </c>
      <c r="J6" s="185">
        <v>4218</v>
      </c>
      <c r="K6" s="186">
        <f t="shared" ref="K6:K10" si="2">I6/H6</f>
        <v>0.20925448758201071</v>
      </c>
      <c r="L6" s="187">
        <f t="shared" ref="L6:L10" si="3">J6/H6</f>
        <v>9.1332308425178102E-2</v>
      </c>
      <c r="M6" s="184">
        <v>42540</v>
      </c>
      <c r="N6" s="185">
        <v>7844</v>
      </c>
      <c r="O6" s="185">
        <v>2417</v>
      </c>
      <c r="P6" s="186">
        <f t="shared" ref="P6:P10" si="4">N6/M6</f>
        <v>0.18439116125999061</v>
      </c>
      <c r="Q6" s="187">
        <f t="shared" ref="Q6:Q10" si="5">O6/M6</f>
        <v>5.6817113305124588E-2</v>
      </c>
    </row>
    <row r="7" spans="2:17" x14ac:dyDescent="0.15">
      <c r="B7" s="196" t="s">
        <v>353</v>
      </c>
      <c r="C7" s="184">
        <v>54128</v>
      </c>
      <c r="D7" s="185">
        <v>7862</v>
      </c>
      <c r="E7" s="185">
        <v>3786</v>
      </c>
      <c r="F7" s="186">
        <f t="shared" si="0"/>
        <v>0.14524830032515518</v>
      </c>
      <c r="G7" s="187">
        <f t="shared" si="1"/>
        <v>6.9945314809340825E-2</v>
      </c>
      <c r="H7" s="184">
        <v>58769</v>
      </c>
      <c r="I7" s="185">
        <v>8055</v>
      </c>
      <c r="J7" s="185">
        <v>3119</v>
      </c>
      <c r="K7" s="186">
        <f t="shared" si="2"/>
        <v>0.13706205652639997</v>
      </c>
      <c r="L7" s="187">
        <f t="shared" si="3"/>
        <v>5.3072197927478776E-2</v>
      </c>
      <c r="M7" s="184">
        <v>62136</v>
      </c>
      <c r="N7" s="185">
        <v>9714</v>
      </c>
      <c r="O7" s="185">
        <v>3708</v>
      </c>
      <c r="P7" s="186">
        <f t="shared" si="4"/>
        <v>0.15633449208188491</v>
      </c>
      <c r="Q7" s="187">
        <f t="shared" si="5"/>
        <v>5.9675550405561995E-2</v>
      </c>
    </row>
    <row r="8" spans="2:17" x14ac:dyDescent="0.15">
      <c r="B8" s="196" t="s">
        <v>354</v>
      </c>
      <c r="C8" s="184">
        <v>4044</v>
      </c>
      <c r="D8" s="185">
        <v>1102</v>
      </c>
      <c r="E8" s="185">
        <v>366</v>
      </c>
      <c r="F8" s="186">
        <f t="shared" si="0"/>
        <v>0.27250247279920869</v>
      </c>
      <c r="G8" s="187">
        <f t="shared" si="1"/>
        <v>9.050445103857567E-2</v>
      </c>
      <c r="H8" s="184">
        <v>5906</v>
      </c>
      <c r="I8" s="185">
        <v>1250</v>
      </c>
      <c r="J8" s="185">
        <v>359</v>
      </c>
      <c r="K8" s="186">
        <f t="shared" si="2"/>
        <v>0.2116491703352523</v>
      </c>
      <c r="L8" s="187">
        <f t="shared" si="3"/>
        <v>6.0785641720284458E-2</v>
      </c>
      <c r="M8" s="184">
        <v>6487</v>
      </c>
      <c r="N8" s="185">
        <v>1180</v>
      </c>
      <c r="O8" s="185">
        <v>198</v>
      </c>
      <c r="P8" s="186">
        <f t="shared" si="4"/>
        <v>0.18190226607060275</v>
      </c>
      <c r="Q8" s="187">
        <f t="shared" si="5"/>
        <v>3.0522583628796052E-2</v>
      </c>
    </row>
    <row r="9" spans="2:17" x14ac:dyDescent="0.15">
      <c r="B9" s="197" t="s">
        <v>355</v>
      </c>
      <c r="C9" s="184">
        <v>-27300</v>
      </c>
      <c r="D9" s="185">
        <v>-1511</v>
      </c>
      <c r="E9" s="185">
        <v>-4769</v>
      </c>
      <c r="F9" s="186">
        <f t="shared" si="0"/>
        <v>5.5347985347985351E-2</v>
      </c>
      <c r="G9" s="187">
        <f t="shared" si="1"/>
        <v>0.1746886446886447</v>
      </c>
      <c r="H9" s="184">
        <v>-27728</v>
      </c>
      <c r="I9" s="185">
        <v>-1486</v>
      </c>
      <c r="J9" s="185">
        <v>-2291</v>
      </c>
      <c r="K9" s="186">
        <f t="shared" si="2"/>
        <v>5.3592036930178881E-2</v>
      </c>
      <c r="L9" s="187">
        <f t="shared" si="3"/>
        <v>8.2624062319676866E-2</v>
      </c>
      <c r="M9" s="184">
        <v>-33733</v>
      </c>
      <c r="N9" s="185">
        <v>-991</v>
      </c>
      <c r="O9" s="185">
        <v>-2420</v>
      </c>
      <c r="P9" s="186">
        <f t="shared" si="4"/>
        <v>2.9377760649808793E-2</v>
      </c>
      <c r="Q9" s="187">
        <f t="shared" si="5"/>
        <v>7.1739839326475555E-2</v>
      </c>
    </row>
    <row r="10" spans="2:17" x14ac:dyDescent="0.15">
      <c r="B10" s="190" t="s">
        <v>349</v>
      </c>
      <c r="C10" s="188">
        <v>322284</v>
      </c>
      <c r="D10" s="189">
        <v>61022</v>
      </c>
      <c r="E10" s="189">
        <v>22528</v>
      </c>
      <c r="F10" s="199">
        <f t="shared" si="0"/>
        <v>0.18934231919673331</v>
      </c>
      <c r="G10" s="200">
        <f t="shared" si="1"/>
        <v>6.9901081034118975E-2</v>
      </c>
      <c r="H10" s="188">
        <v>324656</v>
      </c>
      <c r="I10" s="189">
        <v>59472</v>
      </c>
      <c r="J10" s="189">
        <v>19060</v>
      </c>
      <c r="K10" s="199">
        <f t="shared" si="2"/>
        <v>0.18318466315115076</v>
      </c>
      <c r="L10" s="200">
        <f t="shared" si="3"/>
        <v>5.8708294317677788E-2</v>
      </c>
      <c r="M10" s="188">
        <v>321913</v>
      </c>
      <c r="N10" s="189">
        <v>51243</v>
      </c>
      <c r="O10" s="189">
        <v>8868</v>
      </c>
      <c r="P10" s="199">
        <f t="shared" si="4"/>
        <v>0.15918276055953007</v>
      </c>
      <c r="Q10" s="200">
        <f t="shared" si="5"/>
        <v>2.7547815714183646E-2</v>
      </c>
    </row>
    <row r="11" spans="2:17" x14ac:dyDescent="0.15">
      <c r="C11" s="201"/>
      <c r="D11" s="201"/>
      <c r="E11" s="201"/>
    </row>
    <row r="12" spans="2:17" x14ac:dyDescent="0.15">
      <c r="B12" s="116" t="s">
        <v>356</v>
      </c>
      <c r="C12" s="191" t="s">
        <v>342</v>
      </c>
      <c r="D12" s="192" t="s">
        <v>341</v>
      </c>
      <c r="E12" s="202" t="s">
        <v>340</v>
      </c>
    </row>
    <row r="13" spans="2:17" x14ac:dyDescent="0.15">
      <c r="B13" s="196" t="s">
        <v>357</v>
      </c>
      <c r="C13" s="203">
        <v>59646</v>
      </c>
      <c r="D13" s="204">
        <v>62001</v>
      </c>
      <c r="E13" s="205">
        <v>62844</v>
      </c>
    </row>
    <row r="14" spans="2:17" x14ac:dyDescent="0.15">
      <c r="B14" s="196" t="s">
        <v>358</v>
      </c>
      <c r="C14" s="206">
        <v>128303</v>
      </c>
      <c r="D14" s="26">
        <v>132144</v>
      </c>
      <c r="E14" s="207">
        <v>141704</v>
      </c>
    </row>
    <row r="15" spans="2:17" x14ac:dyDescent="0.15">
      <c r="B15" s="196" t="s">
        <v>359</v>
      </c>
      <c r="C15" s="206">
        <v>67908</v>
      </c>
      <c r="D15" s="26">
        <v>67712</v>
      </c>
      <c r="E15" s="207">
        <v>60001</v>
      </c>
    </row>
    <row r="16" spans="2:17" x14ac:dyDescent="0.15">
      <c r="B16" s="196" t="s">
        <v>360</v>
      </c>
      <c r="C16" s="206">
        <v>17139</v>
      </c>
      <c r="D16" s="26">
        <v>18962</v>
      </c>
      <c r="E16" s="207">
        <v>18971</v>
      </c>
    </row>
    <row r="17" spans="2:5" x14ac:dyDescent="0.15">
      <c r="B17" s="196" t="s">
        <v>361</v>
      </c>
      <c r="C17" s="206">
        <v>50109</v>
      </c>
      <c r="D17" s="26">
        <v>44057</v>
      </c>
      <c r="E17" s="207">
        <v>38154</v>
      </c>
    </row>
    <row r="18" spans="2:5" x14ac:dyDescent="0.15">
      <c r="B18" s="196" t="s">
        <v>362</v>
      </c>
      <c r="C18" s="208">
        <v>-821</v>
      </c>
      <c r="D18" s="209">
        <v>-219</v>
      </c>
      <c r="E18" s="210">
        <v>238</v>
      </c>
    </row>
    <row r="19" spans="2:5" x14ac:dyDescent="0.15">
      <c r="B19" s="190" t="s">
        <v>349</v>
      </c>
      <c r="C19" s="211">
        <v>322284</v>
      </c>
      <c r="D19" s="212">
        <v>324656</v>
      </c>
      <c r="E19" s="213">
        <v>321913</v>
      </c>
    </row>
    <row r="20" spans="2:5" x14ac:dyDescent="0.15">
      <c r="C20" s="24"/>
      <c r="D20" s="24"/>
      <c r="E20" s="24"/>
    </row>
    <row r="37" spans="2:2" x14ac:dyDescent="0.15">
      <c r="B37" s="52"/>
    </row>
  </sheetData>
  <mergeCells count="3">
    <mergeCell ref="H3:L3"/>
    <mergeCell ref="M3:Q3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Index</vt:lpstr>
      <vt:lpstr>P&amp;L</vt:lpstr>
      <vt:lpstr>Common Size P&amp;L</vt:lpstr>
      <vt:lpstr>Balance Sheet</vt:lpstr>
      <vt:lpstr>Common Size Balance Sheet </vt:lpstr>
      <vt:lpstr>Cash Flow Statement</vt:lpstr>
      <vt:lpstr>Statement of Changes In Equity</vt:lpstr>
      <vt:lpstr>Activity Ratios</vt:lpstr>
      <vt:lpstr>Liquidity Ratios</vt:lpstr>
      <vt:lpstr>Solvency Ratios</vt:lpstr>
      <vt:lpstr>Profitability Ratios</vt:lpstr>
      <vt:lpstr>Valuation Ratios</vt:lpstr>
      <vt:lpstr>Dupont Analysis</vt:lpstr>
      <vt:lpstr>Altman's Credit Score</vt:lpstr>
      <vt:lpstr>Segment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Srinivasan</dc:creator>
  <cp:lastModifiedBy>Vishal Srinivasan</cp:lastModifiedBy>
  <dcterms:created xsi:type="dcterms:W3CDTF">2026-03-13T12:14:51Z</dcterms:created>
  <dcterms:modified xsi:type="dcterms:W3CDTF">2026-03-23T13:53:16Z</dcterms:modified>
</cp:coreProperties>
</file>